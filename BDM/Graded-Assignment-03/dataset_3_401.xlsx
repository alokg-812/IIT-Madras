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okg\Downloads\"/>
    </mc:Choice>
  </mc:AlternateContent>
  <xr:revisionPtr revIDLastSave="0" documentId="13_ncr:1_{027DB114-F593-4C38-B322-7BF4C57D386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Data" sheetId="1" r:id="rId1"/>
    <sheet name="Cost" sheetId="2" r:id="rId2"/>
    <sheet name="Shift_Running" sheetId="3" r:id="rId3"/>
    <sheet name="Actual_Output" sheetId="4" r:id="rId4"/>
    <sheet name="Scrap" sheetId="5" r:id="rId5"/>
  </sheets>
  <definedNames>
    <definedName name="_xlnm._FilterDatabase" localSheetId="1" hidden="1">Cost!$A$1:$K$19</definedName>
    <definedName name="_xlnm._FilterDatabase" localSheetId="0" hidden="1">Data!$A$1:$L$175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 a="1"/>
  <c r="L2" i="1" s="1"/>
  <c r="L2" i="2" a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J5" i="1"/>
  <c r="K5" i="1" s="1"/>
  <c r="J6" i="1"/>
  <c r="K6" i="1" s="1"/>
  <c r="J18" i="1"/>
  <c r="K18" i="1" s="1"/>
  <c r="J19" i="1"/>
  <c r="K19" i="1" s="1"/>
  <c r="J20" i="1"/>
  <c r="K20" i="1" s="1"/>
  <c r="J28" i="1"/>
  <c r="K28" i="1" s="1"/>
  <c r="J29" i="1"/>
  <c r="K29" i="1" s="1"/>
  <c r="J30" i="1"/>
  <c r="K30" i="1" s="1"/>
  <c r="J31" i="1"/>
  <c r="K31" i="1" s="1"/>
  <c r="J40" i="1"/>
  <c r="K40" i="1" s="1"/>
  <c r="J41" i="1"/>
  <c r="K41" i="1" s="1"/>
  <c r="J55" i="1"/>
  <c r="K55" i="1" s="1"/>
  <c r="J56" i="1"/>
  <c r="K56" i="1" s="1"/>
  <c r="J66" i="1"/>
  <c r="K66" i="1" s="1"/>
  <c r="J86" i="1"/>
  <c r="K86" i="1" s="1"/>
  <c r="J123" i="1"/>
  <c r="K123" i="1" s="1"/>
  <c r="J124" i="1"/>
  <c r="K124" i="1" s="1"/>
  <c r="J125" i="1"/>
  <c r="K125" i="1" s="1"/>
  <c r="J126" i="1"/>
  <c r="K126" i="1" s="1"/>
  <c r="J127" i="1"/>
  <c r="K127" i="1" s="1"/>
  <c r="J149" i="1"/>
  <c r="K149" i="1" s="1"/>
  <c r="J150" i="1"/>
  <c r="K150" i="1" s="1"/>
  <c r="J151" i="1"/>
  <c r="K151" i="1" s="1"/>
  <c r="J152" i="1"/>
  <c r="K152" i="1" s="1"/>
  <c r="J161" i="1"/>
  <c r="K161" i="1" s="1"/>
  <c r="J162" i="1"/>
  <c r="K162" i="1" s="1"/>
  <c r="J163" i="1"/>
  <c r="K163" i="1" s="1"/>
  <c r="J164" i="1"/>
  <c r="K164" i="1" s="1"/>
  <c r="J171" i="1"/>
  <c r="K171" i="1" s="1"/>
  <c r="J172" i="1"/>
  <c r="K172" i="1" s="1"/>
  <c r="J173" i="1"/>
  <c r="K173" i="1" s="1"/>
  <c r="J174" i="1"/>
  <c r="K174" i="1" s="1"/>
  <c r="J2" i="2"/>
  <c r="J18" i="2"/>
  <c r="J3" i="2"/>
  <c r="L8" i="1"/>
  <c r="J19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I3" i="2"/>
  <c r="J33" i="1" s="1"/>
  <c r="K33" i="1" s="1"/>
  <c r="I4" i="2"/>
  <c r="J69" i="1" s="1"/>
  <c r="K69" i="1" s="1"/>
  <c r="I5" i="2"/>
  <c r="J93" i="1" s="1"/>
  <c r="K93" i="1" s="1"/>
  <c r="I6" i="2"/>
  <c r="J129" i="1" s="1"/>
  <c r="K129" i="1" s="1"/>
  <c r="I7" i="2"/>
  <c r="J153" i="1" s="1"/>
  <c r="K153" i="1" s="1"/>
  <c r="I8" i="2"/>
  <c r="J21" i="1" s="1"/>
  <c r="K21" i="1" s="1"/>
  <c r="I9" i="2"/>
  <c r="J45" i="1" s="1"/>
  <c r="K45" i="1" s="1"/>
  <c r="I10" i="2"/>
  <c r="J81" i="1" s="1"/>
  <c r="K81" i="1" s="1"/>
  <c r="I11" i="2"/>
  <c r="J105" i="1" s="1"/>
  <c r="K105" i="1" s="1"/>
  <c r="I12" i="2"/>
  <c r="J141" i="1" s="1"/>
  <c r="K141" i="1" s="1"/>
  <c r="I13" i="2"/>
  <c r="J165" i="1" s="1"/>
  <c r="K165" i="1" s="1"/>
  <c r="I14" i="2"/>
  <c r="J26" i="1" s="1"/>
  <c r="K26" i="1" s="1"/>
  <c r="I15" i="2"/>
  <c r="J57" i="1" s="1"/>
  <c r="K57" i="1" s="1"/>
  <c r="I16" i="2"/>
  <c r="J87" i="1" s="1"/>
  <c r="K87" i="1" s="1"/>
  <c r="I17" i="2"/>
  <c r="J117" i="1" s="1"/>
  <c r="K117" i="1" s="1"/>
  <c r="I18" i="2"/>
  <c r="J142" i="1" s="1"/>
  <c r="K142" i="1" s="1"/>
  <c r="I19" i="2"/>
  <c r="J175" i="1" s="1"/>
  <c r="K175" i="1" s="1"/>
  <c r="I2" i="2"/>
  <c r="J9" i="1" s="1"/>
  <c r="K9" i="1" s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3" i="1"/>
  <c r="I4" i="1"/>
  <c r="I5" i="1"/>
  <c r="I6" i="1"/>
  <c r="I7" i="1"/>
  <c r="I8" i="1"/>
  <c r="I9" i="1"/>
  <c r="I10" i="1"/>
  <c r="I11" i="1"/>
  <c r="I12" i="1"/>
  <c r="I2" i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J85" i="1" l="1"/>
  <c r="K85" i="1" s="1"/>
  <c r="J80" i="1"/>
  <c r="K80" i="1" s="1"/>
  <c r="J54" i="1"/>
  <c r="K54" i="1" s="1"/>
  <c r="J100" i="1"/>
  <c r="K100" i="1" s="1"/>
  <c r="J79" i="1"/>
  <c r="K79" i="1" s="1"/>
  <c r="J44" i="1"/>
  <c r="K44" i="1" s="1"/>
  <c r="J170" i="1"/>
  <c r="K170" i="1" s="1"/>
  <c r="J128" i="1"/>
  <c r="K128" i="1" s="1"/>
  <c r="J99" i="1"/>
  <c r="K99" i="1" s="1"/>
  <c r="J68" i="1"/>
  <c r="K68" i="1" s="1"/>
  <c r="J43" i="1"/>
  <c r="K43" i="1" s="1"/>
  <c r="J27" i="1"/>
  <c r="K27" i="1" s="1"/>
  <c r="J113" i="1"/>
  <c r="K113" i="1" s="1"/>
  <c r="J104" i="1"/>
  <c r="K104" i="1" s="1"/>
  <c r="J169" i="1"/>
  <c r="K169" i="1" s="1"/>
  <c r="J98" i="1"/>
  <c r="K98" i="1" s="1"/>
  <c r="J67" i="1"/>
  <c r="K67" i="1" s="1"/>
  <c r="J42" i="1"/>
  <c r="K42" i="1" s="1"/>
  <c r="J65" i="1"/>
  <c r="K65" i="1" s="1"/>
  <c r="J92" i="1"/>
  <c r="K92" i="1" s="1"/>
  <c r="J91" i="1"/>
  <c r="K91" i="1" s="1"/>
  <c r="J64" i="1"/>
  <c r="K64" i="1" s="1"/>
  <c r="J39" i="1"/>
  <c r="K39" i="1" s="1"/>
  <c r="J63" i="1"/>
  <c r="K63" i="1" s="1"/>
  <c r="J17" i="1"/>
  <c r="K17" i="1" s="1"/>
  <c r="J2" i="1"/>
  <c r="K2" i="1" s="1"/>
  <c r="J160" i="1"/>
  <c r="K160" i="1" s="1"/>
  <c r="J116" i="1"/>
  <c r="K116" i="1" s="1"/>
  <c r="J88" i="1"/>
  <c r="K88" i="1" s="1"/>
  <c r="J62" i="1"/>
  <c r="K62" i="1" s="1"/>
  <c r="J37" i="1"/>
  <c r="K37" i="1" s="1"/>
  <c r="J8" i="1"/>
  <c r="K8" i="1" s="1"/>
  <c r="J114" i="1"/>
  <c r="K114" i="1" s="1"/>
  <c r="J90" i="1"/>
  <c r="K90" i="1" s="1"/>
  <c r="J89" i="1"/>
  <c r="K89" i="1" s="1"/>
  <c r="J38" i="1"/>
  <c r="K38" i="1" s="1"/>
  <c r="J159" i="1"/>
  <c r="K159" i="1" s="1"/>
  <c r="J115" i="1"/>
  <c r="K115" i="1" s="1"/>
  <c r="J61" i="1"/>
  <c r="K61" i="1" s="1"/>
  <c r="J32" i="1"/>
  <c r="K32" i="1" s="1"/>
  <c r="J7" i="1"/>
  <c r="K7" i="1" s="1"/>
  <c r="J140" i="1"/>
  <c r="K140" i="1" s="1"/>
  <c r="J103" i="1"/>
  <c r="K103" i="1" s="1"/>
  <c r="J101" i="1"/>
  <c r="K101" i="1" s="1"/>
  <c r="J148" i="1"/>
  <c r="K148" i="1" s="1"/>
  <c r="J136" i="1"/>
  <c r="K136" i="1" s="1"/>
  <c r="J112" i="1"/>
  <c r="K112" i="1" s="1"/>
  <c r="J76" i="1"/>
  <c r="K76" i="1" s="1"/>
  <c r="J52" i="1"/>
  <c r="K52" i="1" s="1"/>
  <c r="J16" i="1"/>
  <c r="K16" i="1" s="1"/>
  <c r="J4" i="1"/>
  <c r="K4" i="1" s="1"/>
  <c r="J139" i="1"/>
  <c r="K139" i="1" s="1"/>
  <c r="J78" i="1"/>
  <c r="K78" i="1" s="1"/>
  <c r="J137" i="1"/>
  <c r="K137" i="1" s="1"/>
  <c r="J135" i="1"/>
  <c r="K135" i="1" s="1"/>
  <c r="J3" i="1"/>
  <c r="K3" i="1" s="1"/>
  <c r="J146" i="1"/>
  <c r="K146" i="1" s="1"/>
  <c r="J110" i="1"/>
  <c r="K110" i="1" s="1"/>
  <c r="J14" i="1"/>
  <c r="K14" i="1" s="1"/>
  <c r="J109" i="1"/>
  <c r="K109" i="1" s="1"/>
  <c r="J168" i="1"/>
  <c r="K168" i="1" s="1"/>
  <c r="J156" i="1"/>
  <c r="K156" i="1" s="1"/>
  <c r="J144" i="1"/>
  <c r="K144" i="1" s="1"/>
  <c r="J132" i="1"/>
  <c r="K132" i="1" s="1"/>
  <c r="J120" i="1"/>
  <c r="K120" i="1" s="1"/>
  <c r="J108" i="1"/>
  <c r="K108" i="1" s="1"/>
  <c r="J96" i="1"/>
  <c r="K96" i="1" s="1"/>
  <c r="J84" i="1"/>
  <c r="K84" i="1" s="1"/>
  <c r="J72" i="1"/>
  <c r="K72" i="1" s="1"/>
  <c r="J60" i="1"/>
  <c r="K60" i="1" s="1"/>
  <c r="J48" i="1"/>
  <c r="K48" i="1" s="1"/>
  <c r="J36" i="1"/>
  <c r="K36" i="1" s="1"/>
  <c r="J24" i="1"/>
  <c r="K24" i="1" s="1"/>
  <c r="J12" i="1"/>
  <c r="K12" i="1" s="1"/>
  <c r="J138" i="1"/>
  <c r="K138" i="1" s="1"/>
  <c r="J77" i="1"/>
  <c r="K77" i="1" s="1"/>
  <c r="J50" i="1"/>
  <c r="K50" i="1" s="1"/>
  <c r="J145" i="1"/>
  <c r="K145" i="1" s="1"/>
  <c r="J121" i="1"/>
  <c r="K121" i="1" s="1"/>
  <c r="J13" i="1"/>
  <c r="K13" i="1" s="1"/>
  <c r="J167" i="1"/>
  <c r="K167" i="1" s="1"/>
  <c r="J155" i="1"/>
  <c r="K155" i="1" s="1"/>
  <c r="J143" i="1"/>
  <c r="K143" i="1" s="1"/>
  <c r="J131" i="1"/>
  <c r="K131" i="1" s="1"/>
  <c r="J119" i="1"/>
  <c r="K119" i="1" s="1"/>
  <c r="J107" i="1"/>
  <c r="K107" i="1" s="1"/>
  <c r="J95" i="1"/>
  <c r="K95" i="1" s="1"/>
  <c r="J83" i="1"/>
  <c r="K83" i="1" s="1"/>
  <c r="J71" i="1"/>
  <c r="K71" i="1" s="1"/>
  <c r="J59" i="1"/>
  <c r="K59" i="1" s="1"/>
  <c r="J47" i="1"/>
  <c r="K47" i="1" s="1"/>
  <c r="J35" i="1"/>
  <c r="K35" i="1" s="1"/>
  <c r="J23" i="1"/>
  <c r="K23" i="1" s="1"/>
  <c r="J11" i="1"/>
  <c r="K11" i="1" s="1"/>
  <c r="J102" i="1"/>
  <c r="K102" i="1" s="1"/>
  <c r="J147" i="1"/>
  <c r="K147" i="1" s="1"/>
  <c r="J111" i="1"/>
  <c r="K111" i="1" s="1"/>
  <c r="J51" i="1"/>
  <c r="K51" i="1" s="1"/>
  <c r="J15" i="1"/>
  <c r="K15" i="1" s="1"/>
  <c r="J158" i="1"/>
  <c r="K158" i="1" s="1"/>
  <c r="J122" i="1"/>
  <c r="K122" i="1" s="1"/>
  <c r="J74" i="1"/>
  <c r="K74" i="1" s="1"/>
  <c r="J133" i="1"/>
  <c r="K133" i="1" s="1"/>
  <c r="J97" i="1"/>
  <c r="K97" i="1" s="1"/>
  <c r="J73" i="1"/>
  <c r="K73" i="1" s="1"/>
  <c r="J25" i="1"/>
  <c r="K25" i="1" s="1"/>
  <c r="J166" i="1"/>
  <c r="K166" i="1" s="1"/>
  <c r="J154" i="1"/>
  <c r="K154" i="1" s="1"/>
  <c r="J130" i="1"/>
  <c r="K130" i="1" s="1"/>
  <c r="J118" i="1"/>
  <c r="K118" i="1" s="1"/>
  <c r="J106" i="1"/>
  <c r="K106" i="1" s="1"/>
  <c r="J94" i="1"/>
  <c r="K94" i="1" s="1"/>
  <c r="J82" i="1"/>
  <c r="K82" i="1" s="1"/>
  <c r="J70" i="1"/>
  <c r="K70" i="1" s="1"/>
  <c r="J58" i="1"/>
  <c r="K58" i="1" s="1"/>
  <c r="J46" i="1"/>
  <c r="K46" i="1" s="1"/>
  <c r="J34" i="1"/>
  <c r="K34" i="1" s="1"/>
  <c r="J22" i="1"/>
  <c r="K22" i="1" s="1"/>
  <c r="J10" i="1"/>
  <c r="K10" i="1" s="1"/>
  <c r="J53" i="1"/>
  <c r="K53" i="1" s="1"/>
  <c r="J75" i="1"/>
  <c r="K75" i="1" s="1"/>
  <c r="J134" i="1"/>
  <c r="K134" i="1" s="1"/>
  <c r="J157" i="1"/>
  <c r="K157" i="1" s="1"/>
  <c r="J49" i="1"/>
  <c r="K49" i="1" s="1"/>
  <c r="K2" i="2"/>
  <c r="K8" i="2"/>
  <c r="K3" i="2"/>
  <c r="K7" i="2"/>
  <c r="K13" i="2"/>
  <c r="K12" i="2"/>
  <c r="K19" i="2"/>
  <c r="K18" i="2"/>
  <c r="K17" i="2"/>
  <c r="K16" i="2"/>
  <c r="K14" i="2"/>
  <c r="K10" i="2"/>
  <c r="K11" i="2"/>
  <c r="K9" i="2"/>
  <c r="K6" i="2"/>
  <c r="K5" i="2"/>
  <c r="K4" i="2"/>
  <c r="K15" i="2"/>
  <c r="K20" i="2" l="1" a="1"/>
  <c r="K2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<sst xmlns="http://schemas.openxmlformats.org/spreadsheetml/2006/main" count="984" uniqueCount="64">
  <si>
    <t>Gear Assembly</t>
  </si>
  <si>
    <t>GA Category</t>
  </si>
  <si>
    <t>Month</t>
  </si>
  <si>
    <t>Quarter</t>
  </si>
  <si>
    <t>Fiscal Year</t>
  </si>
  <si>
    <t>Quantity Produced</t>
  </si>
  <si>
    <t>Sales Quantity</t>
  </si>
  <si>
    <t>Price</t>
  </si>
  <si>
    <t>Gear Assembly 1 (BS4)</t>
  </si>
  <si>
    <t>BS4 Only</t>
  </si>
  <si>
    <t>April</t>
  </si>
  <si>
    <t>Q1</t>
  </si>
  <si>
    <t>2019-20</t>
  </si>
  <si>
    <t>May</t>
  </si>
  <si>
    <t>June</t>
  </si>
  <si>
    <t>July</t>
  </si>
  <si>
    <t>Q2</t>
  </si>
  <si>
    <t>August</t>
  </si>
  <si>
    <t>September</t>
  </si>
  <si>
    <t>October</t>
  </si>
  <si>
    <t>Q3</t>
  </si>
  <si>
    <t>November</t>
  </si>
  <si>
    <t>December</t>
  </si>
  <si>
    <t>January</t>
  </si>
  <si>
    <t>Q4</t>
  </si>
  <si>
    <t>February</t>
  </si>
  <si>
    <t>March</t>
  </si>
  <si>
    <t>2020-21</t>
  </si>
  <si>
    <t>2021-22</t>
  </si>
  <si>
    <t>Gear Assembly 2 (BS4)</t>
  </si>
  <si>
    <t>Gear Assembly 3 (BS4/6)</t>
  </si>
  <si>
    <t>Combination</t>
  </si>
  <si>
    <t>Gear Assembly 4 (BS4/6)</t>
  </si>
  <si>
    <t>Gear Assembly 5 (BS6)</t>
  </si>
  <si>
    <t>BS6 Only</t>
  </si>
  <si>
    <t>Gear Assembly 6 (BS6)</t>
  </si>
  <si>
    <t>SALES DETAILS (GEAR ASSEMBLIES)</t>
  </si>
  <si>
    <t>FY</t>
  </si>
  <si>
    <t>CC</t>
  </si>
  <si>
    <t>Direct Materials</t>
  </si>
  <si>
    <t>Direct Labour</t>
  </si>
  <si>
    <t>Production Overhead</t>
  </si>
  <si>
    <t>G&amp;A Overhead</t>
  </si>
  <si>
    <t>Finance Costs</t>
  </si>
  <si>
    <t>Date</t>
  </si>
  <si>
    <t>Shift 1 (8 Hours)</t>
  </si>
  <si>
    <t>Shift 2 (8 Hours)</t>
  </si>
  <si>
    <t>Shift 3 (8 Hours)</t>
  </si>
  <si>
    <t>Unplanned Maintenance</t>
  </si>
  <si>
    <t>Operational</t>
  </si>
  <si>
    <t>Power Cut</t>
  </si>
  <si>
    <t>Breakdown</t>
  </si>
  <si>
    <t>Planned Maintenance</t>
  </si>
  <si>
    <t>Shift 1</t>
  </si>
  <si>
    <t>Shift 2</t>
  </si>
  <si>
    <t>Shift 3</t>
  </si>
  <si>
    <t>Amount Sold</t>
  </si>
  <si>
    <t>Min Selling Price</t>
  </si>
  <si>
    <t>Net Loss</t>
  </si>
  <si>
    <t>maximum loss</t>
  </si>
  <si>
    <t>Total Cost</t>
  </si>
  <si>
    <t>Unit Cost</t>
  </si>
  <si>
    <t>% Margin</t>
  </si>
  <si>
    <t>Max %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</si>
</sst>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173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workbookViewId="0">
      <selection activeCell="N2" sqref="N2"/>
    </sheetView>
  </sheetViews>
  <sheetFormatPr defaultRowHeight="14.5" x14ac:dyDescent="0.35"/>
  <cols>
    <col min="1" max="1" width="21.453125" bestFit="1" customWidth="1"/>
    <col min="2" max="2" width="13.36328125" bestFit="1" customWidth="1"/>
    <col min="3" max="3" width="9.90625" bestFit="1" customWidth="1"/>
    <col min="4" max="4" width="9.6328125" bestFit="1" customWidth="1"/>
    <col min="5" max="5" width="11.7265625" bestFit="1" customWidth="1"/>
    <col min="6" max="6" width="18.7265625" bestFit="1" customWidth="1"/>
    <col min="7" max="7" width="14.90625" bestFit="1" customWidth="1"/>
    <col min="8" max="8" width="7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</v>
      </c>
      <c r="J1" t="s">
        <v>61</v>
      </c>
      <c r="K1" t="s">
        <v>62</v>
      </c>
    </row>
    <row r="2" spans="1:12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6393</v>
      </c>
      <c r="G2">
        <v>6099</v>
      </c>
      <c r="H2">
        <v>544</v>
      </c>
      <c r="I2">
        <f>G2*H2</f>
        <v>3317856</v>
      </c>
      <c r="J2">
        <f>SUMIFS(Cost!$I:$I, Cost!$A:$A, A2, Cost!$B:$B, E2)</f>
        <v>395</v>
      </c>
      <c r="K2" s="2">
        <f>(H2-J2)/H2</f>
        <v>0.27389705882352944</v>
      </c>
      <c r="L2" t="e" cm="1" vm="1">
        <f t="array" aca="1" ref="L2" ca="1">(H2:H175 - J2:J175) / H2:H175</f>
        <v>#VALUE!</v>
      </c>
    </row>
    <row r="3" spans="1:12" x14ac:dyDescent="0.35">
      <c r="A3" t="s">
        <v>8</v>
      </c>
      <c r="B3" t="s">
        <v>9</v>
      </c>
      <c r="C3" t="s">
        <v>13</v>
      </c>
      <c r="D3" t="s">
        <v>11</v>
      </c>
      <c r="E3" t="s">
        <v>12</v>
      </c>
      <c r="F3">
        <v>5891</v>
      </c>
      <c r="G3">
        <v>5322</v>
      </c>
      <c r="H3">
        <v>513</v>
      </c>
      <c r="I3">
        <f t="shared" ref="I3:I66" si="0">G3*H3</f>
        <v>2730186</v>
      </c>
      <c r="J3">
        <f>SUMIFS(Cost!$I:$I, Cost!$A:$A, A3, Cost!$B:$B, E3)</f>
        <v>395</v>
      </c>
      <c r="K3" s="2">
        <f t="shared" ref="K3:K66" si="1">(H3-J3)/H3</f>
        <v>0.2300194931773879</v>
      </c>
    </row>
    <row r="4" spans="1:12" x14ac:dyDescent="0.35">
      <c r="A4" t="s">
        <v>8</v>
      </c>
      <c r="B4" t="s">
        <v>9</v>
      </c>
      <c r="C4" t="s">
        <v>14</v>
      </c>
      <c r="D4" t="s">
        <v>11</v>
      </c>
      <c r="E4" t="s">
        <v>12</v>
      </c>
      <c r="F4">
        <v>6791</v>
      </c>
      <c r="G4">
        <v>5953</v>
      </c>
      <c r="H4">
        <v>427</v>
      </c>
      <c r="I4">
        <f t="shared" si="0"/>
        <v>2541931</v>
      </c>
      <c r="J4">
        <f>SUMIFS(Cost!$I:$I, Cost!$A:$A, A4, Cost!$B:$B, E4)</f>
        <v>395</v>
      </c>
      <c r="K4" s="2">
        <f t="shared" si="1"/>
        <v>7.4941451990632318E-2</v>
      </c>
    </row>
    <row r="5" spans="1:12" x14ac:dyDescent="0.35">
      <c r="A5" t="s">
        <v>8</v>
      </c>
      <c r="B5" t="s">
        <v>9</v>
      </c>
      <c r="C5" t="s">
        <v>15</v>
      </c>
      <c r="D5" t="s">
        <v>16</v>
      </c>
      <c r="E5" t="s">
        <v>12</v>
      </c>
      <c r="F5">
        <v>5667</v>
      </c>
      <c r="G5">
        <v>4962</v>
      </c>
      <c r="H5">
        <v>378</v>
      </c>
      <c r="I5">
        <f t="shared" si="0"/>
        <v>1875636</v>
      </c>
      <c r="J5">
        <f>SUMIFS(Cost!$I:$I, Cost!$A:$A, A5, Cost!$B:$B, E5)</f>
        <v>395</v>
      </c>
      <c r="K5" s="2">
        <f t="shared" si="1"/>
        <v>-4.4973544973544971E-2</v>
      </c>
      <c r="L5" s="4"/>
    </row>
    <row r="6" spans="1:12" x14ac:dyDescent="0.35">
      <c r="A6" t="s">
        <v>8</v>
      </c>
      <c r="B6" t="s">
        <v>9</v>
      </c>
      <c r="C6" t="s">
        <v>17</v>
      </c>
      <c r="D6" t="s">
        <v>16</v>
      </c>
      <c r="E6" t="s">
        <v>12</v>
      </c>
      <c r="F6">
        <v>6555</v>
      </c>
      <c r="G6">
        <v>6447</v>
      </c>
      <c r="H6">
        <v>566</v>
      </c>
      <c r="I6">
        <f t="shared" si="0"/>
        <v>3649002</v>
      </c>
      <c r="J6">
        <f>SUMIFS(Cost!$I:$I, Cost!$A:$A, A6, Cost!$B:$B, E6)</f>
        <v>395</v>
      </c>
      <c r="K6" s="2">
        <f t="shared" si="1"/>
        <v>0.30212014134275617</v>
      </c>
    </row>
    <row r="7" spans="1:12" x14ac:dyDescent="0.35">
      <c r="A7" t="s">
        <v>8</v>
      </c>
      <c r="B7" t="s">
        <v>9</v>
      </c>
      <c r="C7" t="s">
        <v>18</v>
      </c>
      <c r="D7" t="s">
        <v>16</v>
      </c>
      <c r="E7" t="s">
        <v>12</v>
      </c>
      <c r="F7">
        <v>5306</v>
      </c>
      <c r="G7">
        <v>4893</v>
      </c>
      <c r="H7">
        <v>354</v>
      </c>
      <c r="I7">
        <f t="shared" si="0"/>
        <v>1732122</v>
      </c>
      <c r="J7">
        <f>SUMIFS(Cost!$I:$I, Cost!$A:$A, A7, Cost!$B:$B, E7)</f>
        <v>395</v>
      </c>
      <c r="K7" s="2">
        <f t="shared" si="1"/>
        <v>-0.11581920903954802</v>
      </c>
    </row>
    <row r="8" spans="1:12" x14ac:dyDescent="0.35">
      <c r="A8" t="s">
        <v>8</v>
      </c>
      <c r="B8" t="s">
        <v>9</v>
      </c>
      <c r="C8" t="s">
        <v>19</v>
      </c>
      <c r="D8" t="s">
        <v>20</v>
      </c>
      <c r="E8" t="s">
        <v>12</v>
      </c>
      <c r="F8">
        <v>5725</v>
      </c>
      <c r="G8">
        <v>5478</v>
      </c>
      <c r="H8">
        <v>539</v>
      </c>
      <c r="I8">
        <f t="shared" si="0"/>
        <v>2952642</v>
      </c>
      <c r="J8">
        <f>SUMIFS(Cost!$I:$I, Cost!$A:$A, A8, Cost!$B:$B, E8)</f>
        <v>395</v>
      </c>
      <c r="K8" s="2">
        <f t="shared" si="1"/>
        <v>0.26716141001855287</v>
      </c>
      <c r="L8">
        <f>_xlfn.MAXIFS(G2:G175, B2:B175, "BS4 Only", D2:D175, "Q1")</f>
        <v>6388</v>
      </c>
    </row>
    <row r="9" spans="1:12" x14ac:dyDescent="0.35">
      <c r="A9" t="s">
        <v>8</v>
      </c>
      <c r="B9" t="s">
        <v>9</v>
      </c>
      <c r="C9" t="s">
        <v>21</v>
      </c>
      <c r="D9" t="s">
        <v>20</v>
      </c>
      <c r="E9" t="s">
        <v>12</v>
      </c>
      <c r="F9">
        <v>5870</v>
      </c>
      <c r="G9">
        <v>5311</v>
      </c>
      <c r="H9">
        <v>379</v>
      </c>
      <c r="I9">
        <f t="shared" si="0"/>
        <v>2012869</v>
      </c>
      <c r="J9">
        <f>SUMIFS(Cost!$I:$I, Cost!$A:$A, A9, Cost!$B:$B, E9)</f>
        <v>395</v>
      </c>
      <c r="K9" s="2">
        <f t="shared" si="1"/>
        <v>-4.221635883905013E-2</v>
      </c>
    </row>
    <row r="10" spans="1:12" x14ac:dyDescent="0.35">
      <c r="A10" t="s">
        <v>8</v>
      </c>
      <c r="B10" t="s">
        <v>9</v>
      </c>
      <c r="C10" t="s">
        <v>22</v>
      </c>
      <c r="D10" t="s">
        <v>20</v>
      </c>
      <c r="E10" t="s">
        <v>12</v>
      </c>
      <c r="F10">
        <v>5937</v>
      </c>
      <c r="G10">
        <v>5287</v>
      </c>
      <c r="H10">
        <v>474</v>
      </c>
      <c r="I10">
        <f t="shared" si="0"/>
        <v>2506038</v>
      </c>
      <c r="J10">
        <f>SUMIFS(Cost!$I:$I, Cost!$A:$A, A10, Cost!$B:$B, E10)</f>
        <v>395</v>
      </c>
      <c r="K10" s="2">
        <f t="shared" si="1"/>
        <v>0.16666666666666666</v>
      </c>
    </row>
    <row r="11" spans="1:12" x14ac:dyDescent="0.35">
      <c r="A11" t="s">
        <v>8</v>
      </c>
      <c r="B11" t="s">
        <v>9</v>
      </c>
      <c r="C11" t="s">
        <v>23</v>
      </c>
      <c r="D11" t="s">
        <v>24</v>
      </c>
      <c r="E11" t="s">
        <v>12</v>
      </c>
      <c r="F11">
        <v>6629</v>
      </c>
      <c r="G11">
        <v>6211</v>
      </c>
      <c r="H11">
        <v>471</v>
      </c>
      <c r="I11">
        <f t="shared" si="0"/>
        <v>2925381</v>
      </c>
      <c r="J11">
        <f>SUMIFS(Cost!$I:$I, Cost!$A:$A, A11, Cost!$B:$B, E11)</f>
        <v>395</v>
      </c>
      <c r="K11" s="2">
        <f t="shared" si="1"/>
        <v>0.16135881104033969</v>
      </c>
    </row>
    <row r="12" spans="1:12" x14ac:dyDescent="0.35">
      <c r="A12" t="s">
        <v>8</v>
      </c>
      <c r="B12" t="s">
        <v>9</v>
      </c>
      <c r="C12" t="s">
        <v>25</v>
      </c>
      <c r="D12" t="s">
        <v>24</v>
      </c>
      <c r="E12" t="s">
        <v>12</v>
      </c>
      <c r="F12">
        <v>6629</v>
      </c>
      <c r="G12">
        <v>5908</v>
      </c>
      <c r="H12">
        <v>433</v>
      </c>
      <c r="I12">
        <f t="shared" si="0"/>
        <v>2558164</v>
      </c>
      <c r="J12">
        <f>SUMIFS(Cost!$I:$I, Cost!$A:$A, A12, Cost!$B:$B, E12)</f>
        <v>395</v>
      </c>
      <c r="K12" s="2">
        <f t="shared" si="1"/>
        <v>8.7759815242494224E-2</v>
      </c>
    </row>
    <row r="13" spans="1:12" x14ac:dyDescent="0.35">
      <c r="A13" t="s">
        <v>8</v>
      </c>
      <c r="B13" t="s">
        <v>9</v>
      </c>
      <c r="C13" t="s">
        <v>26</v>
      </c>
      <c r="D13" t="s">
        <v>24</v>
      </c>
      <c r="E13" t="s">
        <v>12</v>
      </c>
      <c r="F13">
        <v>6573</v>
      </c>
      <c r="G13">
        <v>6225</v>
      </c>
      <c r="H13">
        <v>412</v>
      </c>
      <c r="I13">
        <f t="shared" si="0"/>
        <v>2564700</v>
      </c>
      <c r="J13">
        <f>SUMIFS(Cost!$I:$I, Cost!$A:$A, A13, Cost!$B:$B, E13)</f>
        <v>395</v>
      </c>
      <c r="K13" s="2">
        <f t="shared" si="1"/>
        <v>4.12621359223301E-2</v>
      </c>
    </row>
    <row r="14" spans="1:12" x14ac:dyDescent="0.35">
      <c r="A14" t="s">
        <v>8</v>
      </c>
      <c r="B14" t="s">
        <v>9</v>
      </c>
      <c r="C14" t="s">
        <v>10</v>
      </c>
      <c r="D14" t="s">
        <v>11</v>
      </c>
      <c r="E14" t="s">
        <v>27</v>
      </c>
      <c r="F14">
        <v>5372</v>
      </c>
      <c r="G14">
        <v>4999</v>
      </c>
      <c r="H14">
        <v>499</v>
      </c>
      <c r="I14">
        <f t="shared" si="0"/>
        <v>2494501</v>
      </c>
      <c r="J14">
        <f>SUMIFS(Cost!$I:$I, Cost!$A:$A, A14, Cost!$B:$B, E14)</f>
        <v>444</v>
      </c>
      <c r="K14" s="2">
        <f t="shared" si="1"/>
        <v>0.11022044088176353</v>
      </c>
    </row>
    <row r="15" spans="1:12" x14ac:dyDescent="0.35">
      <c r="A15" t="s">
        <v>8</v>
      </c>
      <c r="B15" t="s">
        <v>9</v>
      </c>
      <c r="C15" t="s">
        <v>13</v>
      </c>
      <c r="D15" t="s">
        <v>11</v>
      </c>
      <c r="E15" t="s">
        <v>27</v>
      </c>
      <c r="F15">
        <v>6193</v>
      </c>
      <c r="G15">
        <v>5212</v>
      </c>
      <c r="H15">
        <v>461</v>
      </c>
      <c r="I15">
        <f t="shared" si="0"/>
        <v>2402732</v>
      </c>
      <c r="J15">
        <f>SUMIFS(Cost!$I:$I, Cost!$A:$A, A15, Cost!$B:$B, E15)</f>
        <v>444</v>
      </c>
      <c r="K15" s="2">
        <f t="shared" si="1"/>
        <v>3.6876355748373099E-2</v>
      </c>
    </row>
    <row r="16" spans="1:12" x14ac:dyDescent="0.35">
      <c r="A16" t="s">
        <v>8</v>
      </c>
      <c r="B16" t="s">
        <v>9</v>
      </c>
      <c r="C16" t="s">
        <v>14</v>
      </c>
      <c r="D16" t="s">
        <v>11</v>
      </c>
      <c r="E16" t="s">
        <v>27</v>
      </c>
      <c r="F16">
        <v>5392</v>
      </c>
      <c r="G16">
        <v>4995</v>
      </c>
      <c r="H16">
        <v>360</v>
      </c>
      <c r="I16">
        <f t="shared" si="0"/>
        <v>1798200</v>
      </c>
      <c r="J16">
        <f>SUMIFS(Cost!$I:$I, Cost!$A:$A, A16, Cost!$B:$B, E16)</f>
        <v>444</v>
      </c>
      <c r="K16" s="2">
        <f t="shared" si="1"/>
        <v>-0.23333333333333334</v>
      </c>
    </row>
    <row r="17" spans="1:11" x14ac:dyDescent="0.35">
      <c r="A17" t="s">
        <v>8</v>
      </c>
      <c r="B17" t="s">
        <v>9</v>
      </c>
      <c r="C17" t="s">
        <v>15</v>
      </c>
      <c r="D17" t="s">
        <v>16</v>
      </c>
      <c r="E17" t="s">
        <v>27</v>
      </c>
      <c r="F17">
        <v>6153</v>
      </c>
      <c r="G17">
        <v>5599</v>
      </c>
      <c r="H17">
        <v>493</v>
      </c>
      <c r="I17">
        <f t="shared" si="0"/>
        <v>2760307</v>
      </c>
      <c r="J17">
        <f>SUMIFS(Cost!$I:$I, Cost!$A:$A, A17, Cost!$B:$B, E17)</f>
        <v>444</v>
      </c>
      <c r="K17" s="2">
        <f t="shared" si="1"/>
        <v>9.9391480730223122E-2</v>
      </c>
    </row>
    <row r="18" spans="1:11" x14ac:dyDescent="0.35">
      <c r="A18" t="s">
        <v>8</v>
      </c>
      <c r="B18" t="s">
        <v>9</v>
      </c>
      <c r="C18" t="s">
        <v>17</v>
      </c>
      <c r="D18" t="s">
        <v>16</v>
      </c>
      <c r="E18" t="s">
        <v>27</v>
      </c>
      <c r="F18">
        <v>6684</v>
      </c>
      <c r="G18">
        <v>5741</v>
      </c>
      <c r="H18">
        <v>493</v>
      </c>
      <c r="I18">
        <f t="shared" si="0"/>
        <v>2830313</v>
      </c>
      <c r="J18">
        <f>SUMIFS(Cost!$I:$I, Cost!$A:$A, A18, Cost!$B:$B, E18)</f>
        <v>444</v>
      </c>
      <c r="K18" s="2">
        <f t="shared" si="1"/>
        <v>9.9391480730223122E-2</v>
      </c>
    </row>
    <row r="19" spans="1:11" x14ac:dyDescent="0.35">
      <c r="A19" t="s">
        <v>8</v>
      </c>
      <c r="B19" t="s">
        <v>9</v>
      </c>
      <c r="C19" t="s">
        <v>18</v>
      </c>
      <c r="D19" t="s">
        <v>16</v>
      </c>
      <c r="E19" t="s">
        <v>27</v>
      </c>
      <c r="F19">
        <v>6227</v>
      </c>
      <c r="G19">
        <v>5959</v>
      </c>
      <c r="H19">
        <v>497</v>
      </c>
      <c r="I19">
        <f t="shared" si="0"/>
        <v>2961623</v>
      </c>
      <c r="J19">
        <f>SUMIFS(Cost!$I:$I, Cost!$A:$A, A19, Cost!$B:$B, E19)</f>
        <v>444</v>
      </c>
      <c r="K19" s="2">
        <f t="shared" si="1"/>
        <v>0.10663983903420524</v>
      </c>
    </row>
    <row r="20" spans="1:11" x14ac:dyDescent="0.35">
      <c r="A20" t="s">
        <v>8</v>
      </c>
      <c r="B20" t="s">
        <v>9</v>
      </c>
      <c r="C20" t="s">
        <v>19</v>
      </c>
      <c r="D20" t="s">
        <v>20</v>
      </c>
      <c r="E20" t="s">
        <v>27</v>
      </c>
      <c r="F20">
        <v>6368</v>
      </c>
      <c r="G20">
        <v>6197</v>
      </c>
      <c r="H20">
        <v>565</v>
      </c>
      <c r="I20">
        <f t="shared" si="0"/>
        <v>3501305</v>
      </c>
      <c r="J20">
        <f>SUMIFS(Cost!$I:$I, Cost!$A:$A, A20, Cost!$B:$B, E20)</f>
        <v>444</v>
      </c>
      <c r="K20" s="2">
        <f t="shared" si="1"/>
        <v>0.21415929203539824</v>
      </c>
    </row>
    <row r="21" spans="1:11" x14ac:dyDescent="0.35">
      <c r="A21" t="s">
        <v>8</v>
      </c>
      <c r="B21" t="s">
        <v>9</v>
      </c>
      <c r="C21" t="s">
        <v>21</v>
      </c>
      <c r="D21" t="s">
        <v>20</v>
      </c>
      <c r="E21" t="s">
        <v>27</v>
      </c>
      <c r="F21">
        <v>5220</v>
      </c>
      <c r="G21">
        <v>4758</v>
      </c>
      <c r="H21">
        <v>396</v>
      </c>
      <c r="I21">
        <f t="shared" si="0"/>
        <v>1884168</v>
      </c>
      <c r="J21">
        <f>SUMIFS(Cost!$I:$I, Cost!$A:$A, A21, Cost!$B:$B, E21)</f>
        <v>444</v>
      </c>
      <c r="K21" s="2">
        <f t="shared" si="1"/>
        <v>-0.12121212121212122</v>
      </c>
    </row>
    <row r="22" spans="1:11" x14ac:dyDescent="0.35">
      <c r="A22" t="s">
        <v>8</v>
      </c>
      <c r="B22" t="s">
        <v>9</v>
      </c>
      <c r="C22" t="s">
        <v>22</v>
      </c>
      <c r="D22" t="s">
        <v>20</v>
      </c>
      <c r="E22" t="s">
        <v>27</v>
      </c>
      <c r="F22">
        <v>5626</v>
      </c>
      <c r="G22">
        <v>5390</v>
      </c>
      <c r="H22">
        <v>415</v>
      </c>
      <c r="I22">
        <f t="shared" si="0"/>
        <v>2236850</v>
      </c>
      <c r="J22">
        <f>SUMIFS(Cost!$I:$I, Cost!$A:$A, A22, Cost!$B:$B, E22)</f>
        <v>444</v>
      </c>
      <c r="K22" s="2">
        <f t="shared" si="1"/>
        <v>-6.9879518072289162E-2</v>
      </c>
    </row>
    <row r="23" spans="1:11" x14ac:dyDescent="0.35">
      <c r="A23" t="s">
        <v>8</v>
      </c>
      <c r="B23" t="s">
        <v>9</v>
      </c>
      <c r="C23" t="s">
        <v>23</v>
      </c>
      <c r="D23" t="s">
        <v>24</v>
      </c>
      <c r="E23" t="s">
        <v>27</v>
      </c>
      <c r="F23">
        <v>5781</v>
      </c>
      <c r="G23">
        <v>5580</v>
      </c>
      <c r="H23">
        <v>534</v>
      </c>
      <c r="I23">
        <f t="shared" si="0"/>
        <v>2979720</v>
      </c>
      <c r="J23">
        <f>SUMIFS(Cost!$I:$I, Cost!$A:$A, A23, Cost!$B:$B, E23)</f>
        <v>444</v>
      </c>
      <c r="K23" s="2">
        <f t="shared" si="1"/>
        <v>0.16853932584269662</v>
      </c>
    </row>
    <row r="24" spans="1:11" x14ac:dyDescent="0.35">
      <c r="A24" t="s">
        <v>8</v>
      </c>
      <c r="B24" t="s">
        <v>9</v>
      </c>
      <c r="C24" t="s">
        <v>25</v>
      </c>
      <c r="D24" t="s">
        <v>24</v>
      </c>
      <c r="E24" t="s">
        <v>27</v>
      </c>
      <c r="F24">
        <v>5592</v>
      </c>
      <c r="G24">
        <v>5550</v>
      </c>
      <c r="H24">
        <v>524</v>
      </c>
      <c r="I24">
        <f t="shared" si="0"/>
        <v>2908200</v>
      </c>
      <c r="J24">
        <f>SUMIFS(Cost!$I:$I, Cost!$A:$A, A24, Cost!$B:$B, E24)</f>
        <v>444</v>
      </c>
      <c r="K24" s="2">
        <f t="shared" si="1"/>
        <v>0.15267175572519084</v>
      </c>
    </row>
    <row r="25" spans="1:11" x14ac:dyDescent="0.35">
      <c r="A25" t="s">
        <v>8</v>
      </c>
      <c r="B25" t="s">
        <v>9</v>
      </c>
      <c r="C25" t="s">
        <v>26</v>
      </c>
      <c r="D25" t="s">
        <v>24</v>
      </c>
      <c r="E25" t="s">
        <v>27</v>
      </c>
      <c r="F25">
        <v>5892</v>
      </c>
      <c r="G25">
        <v>5116</v>
      </c>
      <c r="H25">
        <v>371</v>
      </c>
      <c r="I25">
        <f t="shared" si="0"/>
        <v>1898036</v>
      </c>
      <c r="J25">
        <f>SUMIFS(Cost!$I:$I, Cost!$A:$A, A25, Cost!$B:$B, E25)</f>
        <v>444</v>
      </c>
      <c r="K25" s="2">
        <f t="shared" si="1"/>
        <v>-0.19676549865229109</v>
      </c>
    </row>
    <row r="26" spans="1:11" x14ac:dyDescent="0.35">
      <c r="A26" t="s">
        <v>8</v>
      </c>
      <c r="B26" t="s">
        <v>9</v>
      </c>
      <c r="C26" t="s">
        <v>10</v>
      </c>
      <c r="D26" t="s">
        <v>11</v>
      </c>
      <c r="E26" t="s">
        <v>28</v>
      </c>
      <c r="F26">
        <v>5416</v>
      </c>
      <c r="G26">
        <v>4966</v>
      </c>
      <c r="H26">
        <v>381</v>
      </c>
      <c r="I26">
        <f t="shared" si="0"/>
        <v>1892046</v>
      </c>
      <c r="J26">
        <f>SUMIFS(Cost!$I:$I, Cost!$A:$A, A26, Cost!$B:$B, E26)</f>
        <v>469</v>
      </c>
      <c r="K26" s="2">
        <f t="shared" si="1"/>
        <v>-0.23097112860892388</v>
      </c>
    </row>
    <row r="27" spans="1:11" x14ac:dyDescent="0.35">
      <c r="A27" t="s">
        <v>8</v>
      </c>
      <c r="B27" t="s">
        <v>9</v>
      </c>
      <c r="C27" t="s">
        <v>13</v>
      </c>
      <c r="D27" t="s">
        <v>11</v>
      </c>
      <c r="E27" t="s">
        <v>28</v>
      </c>
      <c r="F27">
        <v>5639</v>
      </c>
      <c r="G27">
        <v>5190</v>
      </c>
      <c r="H27">
        <v>550</v>
      </c>
      <c r="I27">
        <f t="shared" si="0"/>
        <v>2854500</v>
      </c>
      <c r="J27">
        <f>SUMIFS(Cost!$I:$I, Cost!$A:$A, A27, Cost!$B:$B, E27)</f>
        <v>469</v>
      </c>
      <c r="K27" s="2">
        <f t="shared" si="1"/>
        <v>0.14727272727272728</v>
      </c>
    </row>
    <row r="28" spans="1:11" x14ac:dyDescent="0.35">
      <c r="A28" t="s">
        <v>8</v>
      </c>
      <c r="B28" t="s">
        <v>9</v>
      </c>
      <c r="C28" t="s">
        <v>14</v>
      </c>
      <c r="D28" t="s">
        <v>11</v>
      </c>
      <c r="E28" t="s">
        <v>28</v>
      </c>
      <c r="F28">
        <v>5701</v>
      </c>
      <c r="G28">
        <v>5248</v>
      </c>
      <c r="H28">
        <v>437</v>
      </c>
      <c r="I28">
        <f t="shared" si="0"/>
        <v>2293376</v>
      </c>
      <c r="J28">
        <f>SUMIFS(Cost!$I:$I, Cost!$A:$A, A28, Cost!$B:$B, E28)</f>
        <v>469</v>
      </c>
      <c r="K28" s="2">
        <f t="shared" si="1"/>
        <v>-7.3226544622425629E-2</v>
      </c>
    </row>
    <row r="29" spans="1:11" x14ac:dyDescent="0.35">
      <c r="A29" t="s">
        <v>8</v>
      </c>
      <c r="B29" t="s">
        <v>9</v>
      </c>
      <c r="C29" t="s">
        <v>15</v>
      </c>
      <c r="D29" t="s">
        <v>16</v>
      </c>
      <c r="E29" t="s">
        <v>28</v>
      </c>
      <c r="F29">
        <v>6727</v>
      </c>
      <c r="G29">
        <v>5948</v>
      </c>
      <c r="H29">
        <v>462</v>
      </c>
      <c r="I29">
        <f t="shared" si="0"/>
        <v>2747976</v>
      </c>
      <c r="J29">
        <f>SUMIFS(Cost!$I:$I, Cost!$A:$A, A29, Cost!$B:$B, E29)</f>
        <v>469</v>
      </c>
      <c r="K29" s="2">
        <f t="shared" si="1"/>
        <v>-1.5151515151515152E-2</v>
      </c>
    </row>
    <row r="30" spans="1:11" x14ac:dyDescent="0.35">
      <c r="A30" t="s">
        <v>8</v>
      </c>
      <c r="B30" t="s">
        <v>9</v>
      </c>
      <c r="C30" t="s">
        <v>17</v>
      </c>
      <c r="D30" t="s">
        <v>16</v>
      </c>
      <c r="E30" t="s">
        <v>28</v>
      </c>
      <c r="F30">
        <v>5993</v>
      </c>
      <c r="G30">
        <v>5685</v>
      </c>
      <c r="H30">
        <v>508</v>
      </c>
      <c r="I30">
        <f t="shared" si="0"/>
        <v>2887980</v>
      </c>
      <c r="J30">
        <f>SUMIFS(Cost!$I:$I, Cost!$A:$A, A30, Cost!$B:$B, E30)</f>
        <v>469</v>
      </c>
      <c r="K30" s="2">
        <f t="shared" si="1"/>
        <v>7.6771653543307089E-2</v>
      </c>
    </row>
    <row r="31" spans="1:11" x14ac:dyDescent="0.35">
      <c r="A31" t="s">
        <v>29</v>
      </c>
      <c r="B31" t="s">
        <v>9</v>
      </c>
      <c r="C31" t="s">
        <v>10</v>
      </c>
      <c r="D31" t="s">
        <v>11</v>
      </c>
      <c r="E31" t="s">
        <v>12</v>
      </c>
      <c r="F31">
        <v>6237</v>
      </c>
      <c r="G31">
        <v>5676</v>
      </c>
      <c r="H31">
        <v>412</v>
      </c>
      <c r="I31">
        <f t="shared" si="0"/>
        <v>2338512</v>
      </c>
      <c r="J31">
        <f>SUMIFS(Cost!$I:$I, Cost!$A:$A, A31, Cost!$B:$B, E31)</f>
        <v>349</v>
      </c>
      <c r="K31" s="2">
        <f t="shared" si="1"/>
        <v>0.15291262135922329</v>
      </c>
    </row>
    <row r="32" spans="1:11" x14ac:dyDescent="0.35">
      <c r="A32" t="s">
        <v>29</v>
      </c>
      <c r="B32" t="s">
        <v>9</v>
      </c>
      <c r="C32" t="s">
        <v>13</v>
      </c>
      <c r="D32" t="s">
        <v>11</v>
      </c>
      <c r="E32" t="s">
        <v>12</v>
      </c>
      <c r="F32">
        <v>6024</v>
      </c>
      <c r="G32">
        <v>5498</v>
      </c>
      <c r="H32">
        <v>390</v>
      </c>
      <c r="I32">
        <f t="shared" si="0"/>
        <v>2144220</v>
      </c>
      <c r="J32">
        <f>SUMIFS(Cost!$I:$I, Cost!$A:$A, A32, Cost!$B:$B, E32)</f>
        <v>349</v>
      </c>
      <c r="K32" s="2">
        <f t="shared" si="1"/>
        <v>0.10512820512820513</v>
      </c>
    </row>
    <row r="33" spans="1:11" x14ac:dyDescent="0.35">
      <c r="A33" t="s">
        <v>29</v>
      </c>
      <c r="B33" t="s">
        <v>9</v>
      </c>
      <c r="C33" t="s">
        <v>14</v>
      </c>
      <c r="D33" t="s">
        <v>11</v>
      </c>
      <c r="E33" t="s">
        <v>12</v>
      </c>
      <c r="F33">
        <v>5866</v>
      </c>
      <c r="G33">
        <v>5581</v>
      </c>
      <c r="H33">
        <v>420</v>
      </c>
      <c r="I33">
        <f t="shared" si="0"/>
        <v>2344020</v>
      </c>
      <c r="J33">
        <f>SUMIFS(Cost!$I:$I, Cost!$A:$A, A33, Cost!$B:$B, E33)</f>
        <v>349</v>
      </c>
      <c r="K33" s="2">
        <f t="shared" si="1"/>
        <v>0.16904761904761906</v>
      </c>
    </row>
    <row r="34" spans="1:11" x14ac:dyDescent="0.35">
      <c r="A34" t="s">
        <v>29</v>
      </c>
      <c r="B34" t="s">
        <v>9</v>
      </c>
      <c r="C34" t="s">
        <v>15</v>
      </c>
      <c r="D34" t="s">
        <v>16</v>
      </c>
      <c r="E34" t="s">
        <v>12</v>
      </c>
      <c r="F34">
        <v>6499</v>
      </c>
      <c r="G34">
        <v>5640</v>
      </c>
      <c r="H34">
        <v>334</v>
      </c>
      <c r="I34">
        <f t="shared" si="0"/>
        <v>1883760</v>
      </c>
      <c r="J34">
        <f>SUMIFS(Cost!$I:$I, Cost!$A:$A, A34, Cost!$B:$B, E34)</f>
        <v>349</v>
      </c>
      <c r="K34" s="2">
        <f t="shared" si="1"/>
        <v>-4.4910179640718563E-2</v>
      </c>
    </row>
    <row r="35" spans="1:11" x14ac:dyDescent="0.35">
      <c r="A35" t="s">
        <v>29</v>
      </c>
      <c r="B35" t="s">
        <v>9</v>
      </c>
      <c r="C35" t="s">
        <v>17</v>
      </c>
      <c r="D35" t="s">
        <v>16</v>
      </c>
      <c r="E35" t="s">
        <v>12</v>
      </c>
      <c r="F35">
        <v>5074</v>
      </c>
      <c r="G35">
        <v>4484</v>
      </c>
      <c r="H35">
        <v>466</v>
      </c>
      <c r="I35">
        <f t="shared" si="0"/>
        <v>2089544</v>
      </c>
      <c r="J35">
        <f>SUMIFS(Cost!$I:$I, Cost!$A:$A, A35, Cost!$B:$B, E35)</f>
        <v>349</v>
      </c>
      <c r="K35" s="2">
        <f t="shared" si="1"/>
        <v>0.25107296137339058</v>
      </c>
    </row>
    <row r="36" spans="1:11" x14ac:dyDescent="0.35">
      <c r="A36" t="s">
        <v>29</v>
      </c>
      <c r="B36" t="s">
        <v>9</v>
      </c>
      <c r="C36" t="s">
        <v>18</v>
      </c>
      <c r="D36" t="s">
        <v>16</v>
      </c>
      <c r="E36" t="s">
        <v>12</v>
      </c>
      <c r="F36">
        <v>6700</v>
      </c>
      <c r="G36">
        <v>6405</v>
      </c>
      <c r="H36">
        <v>437</v>
      </c>
      <c r="I36">
        <f t="shared" si="0"/>
        <v>2798985</v>
      </c>
      <c r="J36">
        <f>SUMIFS(Cost!$I:$I, Cost!$A:$A, A36, Cost!$B:$B, E36)</f>
        <v>349</v>
      </c>
      <c r="K36" s="2">
        <f t="shared" si="1"/>
        <v>0.20137299771167047</v>
      </c>
    </row>
    <row r="37" spans="1:11" x14ac:dyDescent="0.35">
      <c r="A37" t="s">
        <v>29</v>
      </c>
      <c r="B37" t="s">
        <v>9</v>
      </c>
      <c r="C37" t="s">
        <v>19</v>
      </c>
      <c r="D37" t="s">
        <v>20</v>
      </c>
      <c r="E37" t="s">
        <v>12</v>
      </c>
      <c r="F37">
        <v>5932</v>
      </c>
      <c r="G37">
        <v>5515</v>
      </c>
      <c r="H37">
        <v>534</v>
      </c>
      <c r="I37">
        <f t="shared" si="0"/>
        <v>2945010</v>
      </c>
      <c r="J37">
        <f>SUMIFS(Cost!$I:$I, Cost!$A:$A, A37, Cost!$B:$B, E37)</f>
        <v>349</v>
      </c>
      <c r="K37" s="2">
        <f t="shared" si="1"/>
        <v>0.34644194756554308</v>
      </c>
    </row>
    <row r="38" spans="1:11" x14ac:dyDescent="0.35">
      <c r="A38" t="s">
        <v>29</v>
      </c>
      <c r="B38" t="s">
        <v>9</v>
      </c>
      <c r="C38" t="s">
        <v>21</v>
      </c>
      <c r="D38" t="s">
        <v>20</v>
      </c>
      <c r="E38" t="s">
        <v>12</v>
      </c>
      <c r="F38">
        <v>6362</v>
      </c>
      <c r="G38">
        <v>5617</v>
      </c>
      <c r="H38">
        <v>561</v>
      </c>
      <c r="I38">
        <f t="shared" si="0"/>
        <v>3151137</v>
      </c>
      <c r="J38">
        <f>SUMIFS(Cost!$I:$I, Cost!$A:$A, A38, Cost!$B:$B, E38)</f>
        <v>349</v>
      </c>
      <c r="K38" s="2">
        <f t="shared" si="1"/>
        <v>0.37789661319073081</v>
      </c>
    </row>
    <row r="39" spans="1:11" x14ac:dyDescent="0.35">
      <c r="A39" t="s">
        <v>29</v>
      </c>
      <c r="B39" t="s">
        <v>9</v>
      </c>
      <c r="C39" t="s">
        <v>22</v>
      </c>
      <c r="D39" t="s">
        <v>20</v>
      </c>
      <c r="E39" t="s">
        <v>12</v>
      </c>
      <c r="F39">
        <v>5685</v>
      </c>
      <c r="G39">
        <v>5075</v>
      </c>
      <c r="H39">
        <v>416</v>
      </c>
      <c r="I39">
        <f t="shared" si="0"/>
        <v>2111200</v>
      </c>
      <c r="J39">
        <f>SUMIFS(Cost!$I:$I, Cost!$A:$A, A39, Cost!$B:$B, E39)</f>
        <v>349</v>
      </c>
      <c r="K39" s="2">
        <f t="shared" si="1"/>
        <v>0.16105769230769232</v>
      </c>
    </row>
    <row r="40" spans="1:11" x14ac:dyDescent="0.35">
      <c r="A40" t="s">
        <v>29</v>
      </c>
      <c r="B40" t="s">
        <v>9</v>
      </c>
      <c r="C40" t="s">
        <v>23</v>
      </c>
      <c r="D40" t="s">
        <v>24</v>
      </c>
      <c r="E40" t="s">
        <v>12</v>
      </c>
      <c r="F40">
        <v>6841</v>
      </c>
      <c r="G40">
        <v>6068</v>
      </c>
      <c r="H40">
        <v>511</v>
      </c>
      <c r="I40">
        <f t="shared" si="0"/>
        <v>3100748</v>
      </c>
      <c r="J40">
        <f>SUMIFS(Cost!$I:$I, Cost!$A:$A, A40, Cost!$B:$B, E40)</f>
        <v>349</v>
      </c>
      <c r="K40" s="2">
        <f t="shared" si="1"/>
        <v>0.31702544031311153</v>
      </c>
    </row>
    <row r="41" spans="1:11" x14ac:dyDescent="0.35">
      <c r="A41" t="s">
        <v>29</v>
      </c>
      <c r="B41" t="s">
        <v>9</v>
      </c>
      <c r="C41" t="s">
        <v>25</v>
      </c>
      <c r="D41" t="s">
        <v>24</v>
      </c>
      <c r="E41" t="s">
        <v>12</v>
      </c>
      <c r="F41">
        <v>5633</v>
      </c>
      <c r="G41">
        <v>5333</v>
      </c>
      <c r="H41">
        <v>378</v>
      </c>
      <c r="I41">
        <f t="shared" si="0"/>
        <v>2015874</v>
      </c>
      <c r="J41">
        <f>SUMIFS(Cost!$I:$I, Cost!$A:$A, A41, Cost!$B:$B, E41)</f>
        <v>349</v>
      </c>
      <c r="K41" s="2">
        <f t="shared" si="1"/>
        <v>7.6719576719576715E-2</v>
      </c>
    </row>
    <row r="42" spans="1:11" x14ac:dyDescent="0.35">
      <c r="A42" t="s">
        <v>29</v>
      </c>
      <c r="B42" t="s">
        <v>9</v>
      </c>
      <c r="C42" t="s">
        <v>26</v>
      </c>
      <c r="D42" t="s">
        <v>24</v>
      </c>
      <c r="E42" t="s">
        <v>12</v>
      </c>
      <c r="F42">
        <v>6390</v>
      </c>
      <c r="G42">
        <v>5603</v>
      </c>
      <c r="H42">
        <v>439</v>
      </c>
      <c r="I42">
        <f t="shared" si="0"/>
        <v>2459717</v>
      </c>
      <c r="J42">
        <f>SUMIFS(Cost!$I:$I, Cost!$A:$A, A42, Cost!$B:$B, E42)</f>
        <v>349</v>
      </c>
      <c r="K42" s="2">
        <f t="shared" si="1"/>
        <v>0.20501138952164008</v>
      </c>
    </row>
    <row r="43" spans="1:11" x14ac:dyDescent="0.35">
      <c r="A43" t="s">
        <v>29</v>
      </c>
      <c r="B43" t="s">
        <v>9</v>
      </c>
      <c r="C43" t="s">
        <v>10</v>
      </c>
      <c r="D43" t="s">
        <v>11</v>
      </c>
      <c r="E43" t="s">
        <v>27</v>
      </c>
      <c r="F43">
        <v>6480</v>
      </c>
      <c r="G43">
        <v>6308</v>
      </c>
      <c r="H43">
        <v>338</v>
      </c>
      <c r="I43">
        <f t="shared" si="0"/>
        <v>2132104</v>
      </c>
      <c r="J43">
        <f>SUMIFS(Cost!$I:$I, Cost!$A:$A, A43, Cost!$B:$B, E43)</f>
        <v>374</v>
      </c>
      <c r="K43" s="2">
        <f t="shared" si="1"/>
        <v>-0.10650887573964497</v>
      </c>
    </row>
    <row r="44" spans="1:11" x14ac:dyDescent="0.35">
      <c r="A44" t="s">
        <v>29</v>
      </c>
      <c r="B44" t="s">
        <v>9</v>
      </c>
      <c r="C44" t="s">
        <v>13</v>
      </c>
      <c r="D44" t="s">
        <v>11</v>
      </c>
      <c r="E44" t="s">
        <v>27</v>
      </c>
      <c r="F44">
        <v>6500</v>
      </c>
      <c r="G44">
        <v>6388</v>
      </c>
      <c r="H44">
        <v>516</v>
      </c>
      <c r="I44">
        <f t="shared" si="0"/>
        <v>3296208</v>
      </c>
      <c r="J44">
        <f>SUMIFS(Cost!$I:$I, Cost!$A:$A, A44, Cost!$B:$B, E44)</f>
        <v>374</v>
      </c>
      <c r="K44" s="2">
        <f t="shared" si="1"/>
        <v>0.27519379844961239</v>
      </c>
    </row>
    <row r="45" spans="1:11" x14ac:dyDescent="0.35">
      <c r="A45" t="s">
        <v>29</v>
      </c>
      <c r="B45" t="s">
        <v>9</v>
      </c>
      <c r="C45" t="s">
        <v>14</v>
      </c>
      <c r="D45" t="s">
        <v>11</v>
      </c>
      <c r="E45" t="s">
        <v>27</v>
      </c>
      <c r="F45">
        <v>6186</v>
      </c>
      <c r="G45">
        <v>5308</v>
      </c>
      <c r="H45">
        <v>444</v>
      </c>
      <c r="I45">
        <f t="shared" si="0"/>
        <v>2356752</v>
      </c>
      <c r="J45">
        <f>SUMIFS(Cost!$I:$I, Cost!$A:$A, A45, Cost!$B:$B, E45)</f>
        <v>374</v>
      </c>
      <c r="K45" s="2">
        <f t="shared" si="1"/>
        <v>0.15765765765765766</v>
      </c>
    </row>
    <row r="46" spans="1:11" x14ac:dyDescent="0.35">
      <c r="A46" t="s">
        <v>29</v>
      </c>
      <c r="B46" t="s">
        <v>9</v>
      </c>
      <c r="C46" t="s">
        <v>15</v>
      </c>
      <c r="D46" t="s">
        <v>16</v>
      </c>
      <c r="E46" t="s">
        <v>27</v>
      </c>
      <c r="F46">
        <v>5219</v>
      </c>
      <c r="G46">
        <v>4763</v>
      </c>
      <c r="H46">
        <v>520</v>
      </c>
      <c r="I46">
        <f t="shared" si="0"/>
        <v>2476760</v>
      </c>
      <c r="J46">
        <f>SUMIFS(Cost!$I:$I, Cost!$A:$A, A46, Cost!$B:$B, E46)</f>
        <v>374</v>
      </c>
      <c r="K46" s="2">
        <f t="shared" si="1"/>
        <v>0.28076923076923077</v>
      </c>
    </row>
    <row r="47" spans="1:11" x14ac:dyDescent="0.35">
      <c r="A47" t="s">
        <v>29</v>
      </c>
      <c r="B47" t="s">
        <v>9</v>
      </c>
      <c r="C47" t="s">
        <v>17</v>
      </c>
      <c r="D47" t="s">
        <v>16</v>
      </c>
      <c r="E47" t="s">
        <v>27</v>
      </c>
      <c r="F47">
        <v>5968</v>
      </c>
      <c r="G47">
        <v>5538</v>
      </c>
      <c r="H47">
        <v>393</v>
      </c>
      <c r="I47">
        <f t="shared" si="0"/>
        <v>2176434</v>
      </c>
      <c r="J47">
        <f>SUMIFS(Cost!$I:$I, Cost!$A:$A, A47, Cost!$B:$B, E47)</f>
        <v>374</v>
      </c>
      <c r="K47" s="2">
        <f t="shared" si="1"/>
        <v>4.8346055979643768E-2</v>
      </c>
    </row>
    <row r="48" spans="1:11" x14ac:dyDescent="0.35">
      <c r="A48" t="s">
        <v>29</v>
      </c>
      <c r="B48" t="s">
        <v>9</v>
      </c>
      <c r="C48" t="s">
        <v>18</v>
      </c>
      <c r="D48" t="s">
        <v>16</v>
      </c>
      <c r="E48" t="s">
        <v>27</v>
      </c>
      <c r="F48">
        <v>5788</v>
      </c>
      <c r="G48">
        <v>5018</v>
      </c>
      <c r="H48">
        <v>462</v>
      </c>
      <c r="I48">
        <f t="shared" si="0"/>
        <v>2318316</v>
      </c>
      <c r="J48">
        <f>SUMIFS(Cost!$I:$I, Cost!$A:$A, A48, Cost!$B:$B, E48)</f>
        <v>374</v>
      </c>
      <c r="K48" s="2">
        <f t="shared" si="1"/>
        <v>0.19047619047619047</v>
      </c>
    </row>
    <row r="49" spans="1:11" x14ac:dyDescent="0.35">
      <c r="A49" t="s">
        <v>29</v>
      </c>
      <c r="B49" t="s">
        <v>9</v>
      </c>
      <c r="C49" t="s">
        <v>19</v>
      </c>
      <c r="D49" t="s">
        <v>20</v>
      </c>
      <c r="E49" t="s">
        <v>27</v>
      </c>
      <c r="F49">
        <v>6785</v>
      </c>
      <c r="G49">
        <v>6613</v>
      </c>
      <c r="H49">
        <v>404</v>
      </c>
      <c r="I49">
        <f t="shared" si="0"/>
        <v>2671652</v>
      </c>
      <c r="J49">
        <f>SUMIFS(Cost!$I:$I, Cost!$A:$A, A49, Cost!$B:$B, E49)</f>
        <v>374</v>
      </c>
      <c r="K49" s="2">
        <f t="shared" si="1"/>
        <v>7.4257425742574254E-2</v>
      </c>
    </row>
    <row r="50" spans="1:11" x14ac:dyDescent="0.35">
      <c r="A50" t="s">
        <v>29</v>
      </c>
      <c r="B50" t="s">
        <v>9</v>
      </c>
      <c r="C50" t="s">
        <v>21</v>
      </c>
      <c r="D50" t="s">
        <v>20</v>
      </c>
      <c r="E50" t="s">
        <v>27</v>
      </c>
      <c r="F50">
        <v>5728</v>
      </c>
      <c r="G50">
        <v>4959</v>
      </c>
      <c r="H50">
        <v>416</v>
      </c>
      <c r="I50">
        <f t="shared" si="0"/>
        <v>2062944</v>
      </c>
      <c r="J50">
        <f>SUMIFS(Cost!$I:$I, Cost!$A:$A, A50, Cost!$B:$B, E50)</f>
        <v>374</v>
      </c>
      <c r="K50" s="2">
        <f t="shared" si="1"/>
        <v>0.10096153846153846</v>
      </c>
    </row>
    <row r="51" spans="1:11" x14ac:dyDescent="0.35">
      <c r="A51" t="s">
        <v>29</v>
      </c>
      <c r="B51" t="s">
        <v>9</v>
      </c>
      <c r="C51" t="s">
        <v>22</v>
      </c>
      <c r="D51" t="s">
        <v>20</v>
      </c>
      <c r="E51" t="s">
        <v>27</v>
      </c>
      <c r="F51">
        <v>5905</v>
      </c>
      <c r="G51">
        <v>5490</v>
      </c>
      <c r="H51">
        <v>551</v>
      </c>
      <c r="I51">
        <f t="shared" si="0"/>
        <v>3024990</v>
      </c>
      <c r="J51">
        <f>SUMIFS(Cost!$I:$I, Cost!$A:$A, A51, Cost!$B:$B, E51)</f>
        <v>374</v>
      </c>
      <c r="K51" s="2">
        <f t="shared" si="1"/>
        <v>0.32123411978221417</v>
      </c>
    </row>
    <row r="52" spans="1:11" x14ac:dyDescent="0.35">
      <c r="A52" t="s">
        <v>29</v>
      </c>
      <c r="B52" t="s">
        <v>9</v>
      </c>
      <c r="C52" t="s">
        <v>23</v>
      </c>
      <c r="D52" t="s">
        <v>24</v>
      </c>
      <c r="E52" t="s">
        <v>27</v>
      </c>
      <c r="F52">
        <v>6007</v>
      </c>
      <c r="G52">
        <v>5663</v>
      </c>
      <c r="H52">
        <v>364</v>
      </c>
      <c r="I52">
        <f t="shared" si="0"/>
        <v>2061332</v>
      </c>
      <c r="J52">
        <f>SUMIFS(Cost!$I:$I, Cost!$A:$A, A52, Cost!$B:$B, E52)</f>
        <v>374</v>
      </c>
      <c r="K52" s="2">
        <f t="shared" si="1"/>
        <v>-2.7472527472527472E-2</v>
      </c>
    </row>
    <row r="53" spans="1:11" x14ac:dyDescent="0.35">
      <c r="A53" t="s">
        <v>29</v>
      </c>
      <c r="B53" t="s">
        <v>9</v>
      </c>
      <c r="C53" t="s">
        <v>25</v>
      </c>
      <c r="D53" t="s">
        <v>24</v>
      </c>
      <c r="E53" t="s">
        <v>27</v>
      </c>
      <c r="F53">
        <v>5959</v>
      </c>
      <c r="G53">
        <v>5382</v>
      </c>
      <c r="H53">
        <v>331</v>
      </c>
      <c r="I53">
        <f t="shared" si="0"/>
        <v>1781442</v>
      </c>
      <c r="J53">
        <f>SUMIFS(Cost!$I:$I, Cost!$A:$A, A53, Cost!$B:$B, E53)</f>
        <v>374</v>
      </c>
      <c r="K53" s="2">
        <f t="shared" si="1"/>
        <v>-0.12990936555891239</v>
      </c>
    </row>
    <row r="54" spans="1:11" x14ac:dyDescent="0.35">
      <c r="A54" t="s">
        <v>29</v>
      </c>
      <c r="B54" t="s">
        <v>9</v>
      </c>
      <c r="C54" t="s">
        <v>26</v>
      </c>
      <c r="D54" t="s">
        <v>24</v>
      </c>
      <c r="E54" t="s">
        <v>27</v>
      </c>
      <c r="F54">
        <v>6745</v>
      </c>
      <c r="G54">
        <v>6094</v>
      </c>
      <c r="H54">
        <v>506</v>
      </c>
      <c r="I54">
        <f t="shared" si="0"/>
        <v>3083564</v>
      </c>
      <c r="J54">
        <f>SUMIFS(Cost!$I:$I, Cost!$A:$A, A54, Cost!$B:$B, E54)</f>
        <v>374</v>
      </c>
      <c r="K54" s="2">
        <f t="shared" si="1"/>
        <v>0.2608695652173913</v>
      </c>
    </row>
    <row r="55" spans="1:11" x14ac:dyDescent="0.35">
      <c r="A55" t="s">
        <v>29</v>
      </c>
      <c r="B55" t="s">
        <v>9</v>
      </c>
      <c r="C55" t="s">
        <v>10</v>
      </c>
      <c r="D55" t="s">
        <v>11</v>
      </c>
      <c r="E55" t="s">
        <v>28</v>
      </c>
      <c r="F55">
        <v>5673</v>
      </c>
      <c r="G55">
        <v>5362</v>
      </c>
      <c r="H55">
        <v>527</v>
      </c>
      <c r="I55">
        <f t="shared" si="0"/>
        <v>2825774</v>
      </c>
      <c r="J55">
        <f>SUMIFS(Cost!$I:$I, Cost!$A:$A, A55, Cost!$B:$B, E55)</f>
        <v>406</v>
      </c>
      <c r="K55" s="2">
        <f t="shared" si="1"/>
        <v>0.22960151802656548</v>
      </c>
    </row>
    <row r="56" spans="1:11" x14ac:dyDescent="0.35">
      <c r="A56" t="s">
        <v>29</v>
      </c>
      <c r="B56" t="s">
        <v>9</v>
      </c>
      <c r="C56" t="s">
        <v>13</v>
      </c>
      <c r="D56" t="s">
        <v>11</v>
      </c>
      <c r="E56" t="s">
        <v>28</v>
      </c>
      <c r="F56">
        <v>5661</v>
      </c>
      <c r="G56">
        <v>5503</v>
      </c>
      <c r="H56">
        <v>424</v>
      </c>
      <c r="I56">
        <f t="shared" si="0"/>
        <v>2333272</v>
      </c>
      <c r="J56">
        <f>SUMIFS(Cost!$I:$I, Cost!$A:$A, A56, Cost!$B:$B, E56)</f>
        <v>406</v>
      </c>
      <c r="K56" s="2">
        <f t="shared" si="1"/>
        <v>4.2452830188679243E-2</v>
      </c>
    </row>
    <row r="57" spans="1:11" x14ac:dyDescent="0.35">
      <c r="A57" t="s">
        <v>29</v>
      </c>
      <c r="B57" t="s">
        <v>9</v>
      </c>
      <c r="C57" t="s">
        <v>14</v>
      </c>
      <c r="D57" t="s">
        <v>11</v>
      </c>
      <c r="E57" t="s">
        <v>28</v>
      </c>
      <c r="F57">
        <v>6585</v>
      </c>
      <c r="G57">
        <v>5772</v>
      </c>
      <c r="H57">
        <v>428</v>
      </c>
      <c r="I57">
        <f t="shared" si="0"/>
        <v>2470416</v>
      </c>
      <c r="J57">
        <f>SUMIFS(Cost!$I:$I, Cost!$A:$A, A57, Cost!$B:$B, E57)</f>
        <v>406</v>
      </c>
      <c r="K57" s="2">
        <f t="shared" si="1"/>
        <v>5.1401869158878503E-2</v>
      </c>
    </row>
    <row r="58" spans="1:11" x14ac:dyDescent="0.35">
      <c r="A58" t="s">
        <v>29</v>
      </c>
      <c r="B58" t="s">
        <v>9</v>
      </c>
      <c r="C58" t="s">
        <v>15</v>
      </c>
      <c r="D58" t="s">
        <v>16</v>
      </c>
      <c r="E58" t="s">
        <v>28</v>
      </c>
      <c r="F58">
        <v>6231</v>
      </c>
      <c r="G58">
        <v>5788</v>
      </c>
      <c r="H58">
        <v>423</v>
      </c>
      <c r="I58">
        <f t="shared" si="0"/>
        <v>2448324</v>
      </c>
      <c r="J58">
        <f>SUMIFS(Cost!$I:$I, Cost!$A:$A, A58, Cost!$B:$B, E58)</f>
        <v>406</v>
      </c>
      <c r="K58" s="2">
        <f t="shared" si="1"/>
        <v>4.0189125295508277E-2</v>
      </c>
    </row>
    <row r="59" spans="1:11" x14ac:dyDescent="0.35">
      <c r="A59" t="s">
        <v>29</v>
      </c>
      <c r="B59" t="s">
        <v>9</v>
      </c>
      <c r="C59" t="s">
        <v>17</v>
      </c>
      <c r="D59" t="s">
        <v>16</v>
      </c>
      <c r="E59" t="s">
        <v>28</v>
      </c>
      <c r="F59">
        <v>6166</v>
      </c>
      <c r="G59">
        <v>5409</v>
      </c>
      <c r="H59">
        <v>420</v>
      </c>
      <c r="I59">
        <f t="shared" si="0"/>
        <v>2271780</v>
      </c>
      <c r="J59">
        <f>SUMIFS(Cost!$I:$I, Cost!$A:$A, A59, Cost!$B:$B, E59)</f>
        <v>406</v>
      </c>
      <c r="K59" s="2">
        <f t="shared" si="1"/>
        <v>3.3333333333333333E-2</v>
      </c>
    </row>
    <row r="60" spans="1:11" x14ac:dyDescent="0.35">
      <c r="A60" t="s">
        <v>30</v>
      </c>
      <c r="B60" t="s">
        <v>31</v>
      </c>
      <c r="C60" t="s">
        <v>10</v>
      </c>
      <c r="D60" t="s">
        <v>11</v>
      </c>
      <c r="E60" t="s">
        <v>12</v>
      </c>
      <c r="F60">
        <v>6681</v>
      </c>
      <c r="G60">
        <v>6088</v>
      </c>
      <c r="H60">
        <v>466</v>
      </c>
      <c r="I60">
        <f t="shared" si="0"/>
        <v>2837008</v>
      </c>
      <c r="J60">
        <f>SUMIFS(Cost!$I:$I, Cost!$A:$A, A60, Cost!$B:$B, E60)</f>
        <v>465</v>
      </c>
      <c r="K60" s="2">
        <f t="shared" si="1"/>
        <v>2.1459227467811159E-3</v>
      </c>
    </row>
    <row r="61" spans="1:11" x14ac:dyDescent="0.35">
      <c r="A61" t="s">
        <v>30</v>
      </c>
      <c r="B61" t="s">
        <v>31</v>
      </c>
      <c r="C61" t="s">
        <v>13</v>
      </c>
      <c r="D61" t="s">
        <v>11</v>
      </c>
      <c r="E61" t="s">
        <v>12</v>
      </c>
      <c r="F61">
        <v>5239</v>
      </c>
      <c r="G61">
        <v>4771</v>
      </c>
      <c r="H61">
        <v>471</v>
      </c>
      <c r="I61">
        <f t="shared" si="0"/>
        <v>2247141</v>
      </c>
      <c r="J61">
        <f>SUMIFS(Cost!$I:$I, Cost!$A:$A, A61, Cost!$B:$B, E61)</f>
        <v>465</v>
      </c>
      <c r="K61" s="2">
        <f t="shared" si="1"/>
        <v>1.2738853503184714E-2</v>
      </c>
    </row>
    <row r="62" spans="1:11" x14ac:dyDescent="0.35">
      <c r="A62" t="s">
        <v>30</v>
      </c>
      <c r="B62" t="s">
        <v>31</v>
      </c>
      <c r="C62" t="s">
        <v>14</v>
      </c>
      <c r="D62" t="s">
        <v>11</v>
      </c>
      <c r="E62" t="s">
        <v>12</v>
      </c>
      <c r="F62">
        <v>5773</v>
      </c>
      <c r="G62">
        <v>5156</v>
      </c>
      <c r="H62">
        <v>392</v>
      </c>
      <c r="I62">
        <f t="shared" si="0"/>
        <v>2021152</v>
      </c>
      <c r="J62">
        <f>SUMIFS(Cost!$I:$I, Cost!$A:$A, A62, Cost!$B:$B, E62)</f>
        <v>465</v>
      </c>
      <c r="K62" s="2">
        <f t="shared" si="1"/>
        <v>-0.18622448979591838</v>
      </c>
    </row>
    <row r="63" spans="1:11" x14ac:dyDescent="0.35">
      <c r="A63" t="s">
        <v>30</v>
      </c>
      <c r="B63" t="s">
        <v>31</v>
      </c>
      <c r="C63" t="s">
        <v>15</v>
      </c>
      <c r="D63" t="s">
        <v>16</v>
      </c>
      <c r="E63" t="s">
        <v>12</v>
      </c>
      <c r="F63">
        <v>6396</v>
      </c>
      <c r="G63">
        <v>5389</v>
      </c>
      <c r="H63">
        <v>408</v>
      </c>
      <c r="I63">
        <f t="shared" si="0"/>
        <v>2198712</v>
      </c>
      <c r="J63">
        <f>SUMIFS(Cost!$I:$I, Cost!$A:$A, A63, Cost!$B:$B, E63)</f>
        <v>465</v>
      </c>
      <c r="K63" s="2">
        <f t="shared" si="1"/>
        <v>-0.13970588235294118</v>
      </c>
    </row>
    <row r="64" spans="1:11" x14ac:dyDescent="0.35">
      <c r="A64" t="s">
        <v>30</v>
      </c>
      <c r="B64" t="s">
        <v>31</v>
      </c>
      <c r="C64" t="s">
        <v>17</v>
      </c>
      <c r="D64" t="s">
        <v>16</v>
      </c>
      <c r="E64" t="s">
        <v>12</v>
      </c>
      <c r="F64">
        <v>6087</v>
      </c>
      <c r="G64">
        <v>5610</v>
      </c>
      <c r="H64">
        <v>525</v>
      </c>
      <c r="I64">
        <f t="shared" si="0"/>
        <v>2945250</v>
      </c>
      <c r="J64">
        <f>SUMIFS(Cost!$I:$I, Cost!$A:$A, A64, Cost!$B:$B, E64)</f>
        <v>465</v>
      </c>
      <c r="K64" s="2">
        <f t="shared" si="1"/>
        <v>0.11428571428571428</v>
      </c>
    </row>
    <row r="65" spans="1:11" x14ac:dyDescent="0.35">
      <c r="A65" t="s">
        <v>30</v>
      </c>
      <c r="B65" t="s">
        <v>31</v>
      </c>
      <c r="C65" t="s">
        <v>18</v>
      </c>
      <c r="D65" t="s">
        <v>16</v>
      </c>
      <c r="E65" t="s">
        <v>12</v>
      </c>
      <c r="F65">
        <v>5362</v>
      </c>
      <c r="G65">
        <v>5319</v>
      </c>
      <c r="H65">
        <v>367</v>
      </c>
      <c r="I65">
        <f t="shared" si="0"/>
        <v>1952073</v>
      </c>
      <c r="J65">
        <f>SUMIFS(Cost!$I:$I, Cost!$A:$A, A65, Cost!$B:$B, E65)</f>
        <v>465</v>
      </c>
      <c r="K65" s="2">
        <f t="shared" si="1"/>
        <v>-0.2670299727520436</v>
      </c>
    </row>
    <row r="66" spans="1:11" x14ac:dyDescent="0.35">
      <c r="A66" t="s">
        <v>30</v>
      </c>
      <c r="B66" t="s">
        <v>31</v>
      </c>
      <c r="C66" t="s">
        <v>19</v>
      </c>
      <c r="D66" t="s">
        <v>20</v>
      </c>
      <c r="E66" t="s">
        <v>12</v>
      </c>
      <c r="F66">
        <v>6286</v>
      </c>
      <c r="G66">
        <v>5844</v>
      </c>
      <c r="H66">
        <v>400</v>
      </c>
      <c r="I66">
        <f t="shared" si="0"/>
        <v>2337600</v>
      </c>
      <c r="J66">
        <f>SUMIFS(Cost!$I:$I, Cost!$A:$A, A66, Cost!$B:$B, E66)</f>
        <v>465</v>
      </c>
      <c r="K66" s="2">
        <f t="shared" si="1"/>
        <v>-0.16250000000000001</v>
      </c>
    </row>
    <row r="67" spans="1:11" x14ac:dyDescent="0.35">
      <c r="A67" t="s">
        <v>30</v>
      </c>
      <c r="B67" t="s">
        <v>31</v>
      </c>
      <c r="C67" t="s">
        <v>21</v>
      </c>
      <c r="D67" t="s">
        <v>20</v>
      </c>
      <c r="E67" t="s">
        <v>12</v>
      </c>
      <c r="F67">
        <v>5539</v>
      </c>
      <c r="G67">
        <v>5352</v>
      </c>
      <c r="H67">
        <v>521</v>
      </c>
      <c r="I67">
        <f t="shared" ref="I67:I130" si="2">G67*H67</f>
        <v>2788392</v>
      </c>
      <c r="J67">
        <f>SUMIFS(Cost!$I:$I, Cost!$A:$A, A67, Cost!$B:$B, E67)</f>
        <v>465</v>
      </c>
      <c r="K67" s="2">
        <f t="shared" ref="K67:K130" si="3">(H67-J67)/H67</f>
        <v>0.10748560460652591</v>
      </c>
    </row>
    <row r="68" spans="1:11" x14ac:dyDescent="0.35">
      <c r="A68" t="s">
        <v>30</v>
      </c>
      <c r="B68" t="s">
        <v>31</v>
      </c>
      <c r="C68" t="s">
        <v>22</v>
      </c>
      <c r="D68" t="s">
        <v>20</v>
      </c>
      <c r="E68" t="s">
        <v>12</v>
      </c>
      <c r="F68">
        <v>5570</v>
      </c>
      <c r="G68">
        <v>4777</v>
      </c>
      <c r="H68">
        <v>461</v>
      </c>
      <c r="I68">
        <f t="shared" si="2"/>
        <v>2202197</v>
      </c>
      <c r="J68">
        <f>SUMIFS(Cost!$I:$I, Cost!$A:$A, A68, Cost!$B:$B, E68)</f>
        <v>465</v>
      </c>
      <c r="K68" s="2">
        <f t="shared" si="3"/>
        <v>-8.6767895878524948E-3</v>
      </c>
    </row>
    <row r="69" spans="1:11" x14ac:dyDescent="0.35">
      <c r="A69" t="s">
        <v>30</v>
      </c>
      <c r="B69" t="s">
        <v>31</v>
      </c>
      <c r="C69" t="s">
        <v>23</v>
      </c>
      <c r="D69" t="s">
        <v>24</v>
      </c>
      <c r="E69" t="s">
        <v>12</v>
      </c>
      <c r="F69">
        <v>5838</v>
      </c>
      <c r="G69">
        <v>5367</v>
      </c>
      <c r="H69">
        <v>518</v>
      </c>
      <c r="I69">
        <f t="shared" si="2"/>
        <v>2780106</v>
      </c>
      <c r="J69">
        <f>SUMIFS(Cost!$I:$I, Cost!$A:$A, A69, Cost!$B:$B, E69)</f>
        <v>465</v>
      </c>
      <c r="K69" s="2">
        <f t="shared" si="3"/>
        <v>0.10231660231660232</v>
      </c>
    </row>
    <row r="70" spans="1:11" x14ac:dyDescent="0.35">
      <c r="A70" t="s">
        <v>30</v>
      </c>
      <c r="B70" t="s">
        <v>31</v>
      </c>
      <c r="C70" t="s">
        <v>25</v>
      </c>
      <c r="D70" t="s">
        <v>24</v>
      </c>
      <c r="E70" t="s">
        <v>12</v>
      </c>
      <c r="F70">
        <v>5481</v>
      </c>
      <c r="G70">
        <v>4976</v>
      </c>
      <c r="H70">
        <v>364</v>
      </c>
      <c r="I70">
        <f t="shared" si="2"/>
        <v>1811264</v>
      </c>
      <c r="J70">
        <f>SUMIFS(Cost!$I:$I, Cost!$A:$A, A70, Cost!$B:$B, E70)</f>
        <v>465</v>
      </c>
      <c r="K70" s="2">
        <f t="shared" si="3"/>
        <v>-0.27747252747252749</v>
      </c>
    </row>
    <row r="71" spans="1:11" x14ac:dyDescent="0.35">
      <c r="A71" t="s">
        <v>30</v>
      </c>
      <c r="B71" t="s">
        <v>31</v>
      </c>
      <c r="C71" t="s">
        <v>26</v>
      </c>
      <c r="D71" t="s">
        <v>24</v>
      </c>
      <c r="E71" t="s">
        <v>12</v>
      </c>
      <c r="F71">
        <v>5376</v>
      </c>
      <c r="G71">
        <v>4998</v>
      </c>
      <c r="H71">
        <v>400</v>
      </c>
      <c r="I71">
        <f t="shared" si="2"/>
        <v>1999200</v>
      </c>
      <c r="J71">
        <f>SUMIFS(Cost!$I:$I, Cost!$A:$A, A71, Cost!$B:$B, E71)</f>
        <v>465</v>
      </c>
      <c r="K71" s="2">
        <f t="shared" si="3"/>
        <v>-0.16250000000000001</v>
      </c>
    </row>
    <row r="72" spans="1:11" x14ac:dyDescent="0.35">
      <c r="A72" t="s">
        <v>30</v>
      </c>
      <c r="B72" t="s">
        <v>31</v>
      </c>
      <c r="C72" t="s">
        <v>10</v>
      </c>
      <c r="D72" t="s">
        <v>11</v>
      </c>
      <c r="E72" t="s">
        <v>27</v>
      </c>
      <c r="F72">
        <v>6205</v>
      </c>
      <c r="G72">
        <v>5935</v>
      </c>
      <c r="H72">
        <v>400</v>
      </c>
      <c r="I72">
        <f t="shared" si="2"/>
        <v>2374000</v>
      </c>
      <c r="J72">
        <f>SUMIFS(Cost!$I:$I, Cost!$A:$A, A72, Cost!$B:$B, E72)</f>
        <v>515</v>
      </c>
      <c r="K72" s="2">
        <f t="shared" si="3"/>
        <v>-0.28749999999999998</v>
      </c>
    </row>
    <row r="73" spans="1:11" x14ac:dyDescent="0.35">
      <c r="A73" t="s">
        <v>30</v>
      </c>
      <c r="B73" t="s">
        <v>31</v>
      </c>
      <c r="C73" t="s">
        <v>13</v>
      </c>
      <c r="D73" t="s">
        <v>11</v>
      </c>
      <c r="E73" t="s">
        <v>27</v>
      </c>
      <c r="F73">
        <v>6457</v>
      </c>
      <c r="G73">
        <v>5547</v>
      </c>
      <c r="H73">
        <v>367</v>
      </c>
      <c r="I73">
        <f t="shared" si="2"/>
        <v>2035749</v>
      </c>
      <c r="J73">
        <f>SUMIFS(Cost!$I:$I, Cost!$A:$A, A73, Cost!$B:$B, E73)</f>
        <v>515</v>
      </c>
      <c r="K73" s="2">
        <f t="shared" si="3"/>
        <v>-0.40326975476839239</v>
      </c>
    </row>
    <row r="74" spans="1:11" x14ac:dyDescent="0.35">
      <c r="A74" t="s">
        <v>30</v>
      </c>
      <c r="B74" t="s">
        <v>31</v>
      </c>
      <c r="C74" t="s">
        <v>14</v>
      </c>
      <c r="D74" t="s">
        <v>11</v>
      </c>
      <c r="E74" t="s">
        <v>27</v>
      </c>
      <c r="F74">
        <v>6724</v>
      </c>
      <c r="G74">
        <v>6118</v>
      </c>
      <c r="H74">
        <v>386</v>
      </c>
      <c r="I74">
        <f t="shared" si="2"/>
        <v>2361548</v>
      </c>
      <c r="J74">
        <f>SUMIFS(Cost!$I:$I, Cost!$A:$A, A74, Cost!$B:$B, E74)</f>
        <v>515</v>
      </c>
      <c r="K74" s="2">
        <f t="shared" si="3"/>
        <v>-0.33419689119170987</v>
      </c>
    </row>
    <row r="75" spans="1:11" x14ac:dyDescent="0.35">
      <c r="A75" t="s">
        <v>30</v>
      </c>
      <c r="B75" t="s">
        <v>31</v>
      </c>
      <c r="C75" t="s">
        <v>15</v>
      </c>
      <c r="D75" t="s">
        <v>16</v>
      </c>
      <c r="E75" t="s">
        <v>27</v>
      </c>
      <c r="F75">
        <v>6653</v>
      </c>
      <c r="G75">
        <v>6050</v>
      </c>
      <c r="H75">
        <v>511</v>
      </c>
      <c r="I75">
        <f t="shared" si="2"/>
        <v>3091550</v>
      </c>
      <c r="J75">
        <f>SUMIFS(Cost!$I:$I, Cost!$A:$A, A75, Cost!$B:$B, E75)</f>
        <v>515</v>
      </c>
      <c r="K75" s="2">
        <f t="shared" si="3"/>
        <v>-7.8277886497064575E-3</v>
      </c>
    </row>
    <row r="76" spans="1:11" x14ac:dyDescent="0.35">
      <c r="A76" t="s">
        <v>30</v>
      </c>
      <c r="B76" t="s">
        <v>31</v>
      </c>
      <c r="C76" t="s">
        <v>17</v>
      </c>
      <c r="D76" t="s">
        <v>16</v>
      </c>
      <c r="E76" t="s">
        <v>27</v>
      </c>
      <c r="F76">
        <v>5605</v>
      </c>
      <c r="G76">
        <v>4866</v>
      </c>
      <c r="H76">
        <v>371</v>
      </c>
      <c r="I76">
        <f t="shared" si="2"/>
        <v>1805286</v>
      </c>
      <c r="J76">
        <f>SUMIFS(Cost!$I:$I, Cost!$A:$A, A76, Cost!$B:$B, E76)</f>
        <v>515</v>
      </c>
      <c r="K76" s="2">
        <f t="shared" si="3"/>
        <v>-0.38814016172506738</v>
      </c>
    </row>
    <row r="77" spans="1:11" x14ac:dyDescent="0.35">
      <c r="A77" t="s">
        <v>30</v>
      </c>
      <c r="B77" t="s">
        <v>31</v>
      </c>
      <c r="C77" t="s">
        <v>18</v>
      </c>
      <c r="D77" t="s">
        <v>16</v>
      </c>
      <c r="E77" t="s">
        <v>27</v>
      </c>
      <c r="F77">
        <v>5229</v>
      </c>
      <c r="G77">
        <v>4767</v>
      </c>
      <c r="H77">
        <v>360</v>
      </c>
      <c r="I77">
        <f t="shared" si="2"/>
        <v>1716120</v>
      </c>
      <c r="J77">
        <f>SUMIFS(Cost!$I:$I, Cost!$A:$A, A77, Cost!$B:$B, E77)</f>
        <v>515</v>
      </c>
      <c r="K77" s="2">
        <f t="shared" si="3"/>
        <v>-0.43055555555555558</v>
      </c>
    </row>
    <row r="78" spans="1:11" x14ac:dyDescent="0.35">
      <c r="A78" t="s">
        <v>30</v>
      </c>
      <c r="B78" t="s">
        <v>31</v>
      </c>
      <c r="C78" t="s">
        <v>19</v>
      </c>
      <c r="D78" t="s">
        <v>20</v>
      </c>
      <c r="E78" t="s">
        <v>27</v>
      </c>
      <c r="F78">
        <v>6827</v>
      </c>
      <c r="G78">
        <v>6528</v>
      </c>
      <c r="H78">
        <v>390</v>
      </c>
      <c r="I78">
        <f t="shared" si="2"/>
        <v>2545920</v>
      </c>
      <c r="J78">
        <f>SUMIFS(Cost!$I:$I, Cost!$A:$A, A78, Cost!$B:$B, E78)</f>
        <v>515</v>
      </c>
      <c r="K78" s="2">
        <f t="shared" si="3"/>
        <v>-0.32051282051282054</v>
      </c>
    </row>
    <row r="79" spans="1:11" x14ac:dyDescent="0.35">
      <c r="A79" t="s">
        <v>30</v>
      </c>
      <c r="B79" t="s">
        <v>31</v>
      </c>
      <c r="C79" t="s">
        <v>21</v>
      </c>
      <c r="D79" t="s">
        <v>20</v>
      </c>
      <c r="E79" t="s">
        <v>27</v>
      </c>
      <c r="F79">
        <v>5170</v>
      </c>
      <c r="G79">
        <v>4844</v>
      </c>
      <c r="H79">
        <v>408</v>
      </c>
      <c r="I79">
        <f t="shared" si="2"/>
        <v>1976352</v>
      </c>
      <c r="J79">
        <f>SUMIFS(Cost!$I:$I, Cost!$A:$A, A79, Cost!$B:$B, E79)</f>
        <v>515</v>
      </c>
      <c r="K79" s="2">
        <f t="shared" si="3"/>
        <v>-0.26225490196078433</v>
      </c>
    </row>
    <row r="80" spans="1:11" x14ac:dyDescent="0.35">
      <c r="A80" t="s">
        <v>30</v>
      </c>
      <c r="B80" t="s">
        <v>31</v>
      </c>
      <c r="C80" t="s">
        <v>22</v>
      </c>
      <c r="D80" t="s">
        <v>20</v>
      </c>
      <c r="E80" t="s">
        <v>27</v>
      </c>
      <c r="F80">
        <v>5273</v>
      </c>
      <c r="G80">
        <v>5190</v>
      </c>
      <c r="H80">
        <v>475</v>
      </c>
      <c r="I80">
        <f t="shared" si="2"/>
        <v>2465250</v>
      </c>
      <c r="J80">
        <f>SUMIFS(Cost!$I:$I, Cost!$A:$A, A80, Cost!$B:$B, E80)</f>
        <v>515</v>
      </c>
      <c r="K80" s="2">
        <f t="shared" si="3"/>
        <v>-8.4210526315789472E-2</v>
      </c>
    </row>
    <row r="81" spans="1:11" x14ac:dyDescent="0.35">
      <c r="A81" t="s">
        <v>30</v>
      </c>
      <c r="B81" t="s">
        <v>31</v>
      </c>
      <c r="C81" t="s">
        <v>23</v>
      </c>
      <c r="D81" t="s">
        <v>24</v>
      </c>
      <c r="E81" t="s">
        <v>27</v>
      </c>
      <c r="F81">
        <v>5232</v>
      </c>
      <c r="G81">
        <v>5094</v>
      </c>
      <c r="H81">
        <v>453</v>
      </c>
      <c r="I81">
        <f t="shared" si="2"/>
        <v>2307582</v>
      </c>
      <c r="J81">
        <f>SUMIFS(Cost!$I:$I, Cost!$A:$A, A81, Cost!$B:$B, E81)</f>
        <v>515</v>
      </c>
      <c r="K81" s="2">
        <f t="shared" si="3"/>
        <v>-0.13686534216335541</v>
      </c>
    </row>
    <row r="82" spans="1:11" x14ac:dyDescent="0.35">
      <c r="A82" t="s">
        <v>30</v>
      </c>
      <c r="B82" t="s">
        <v>31</v>
      </c>
      <c r="C82" t="s">
        <v>25</v>
      </c>
      <c r="D82" t="s">
        <v>24</v>
      </c>
      <c r="E82" t="s">
        <v>27</v>
      </c>
      <c r="F82">
        <v>6607</v>
      </c>
      <c r="G82">
        <v>6375</v>
      </c>
      <c r="H82">
        <v>420</v>
      </c>
      <c r="I82">
        <f t="shared" si="2"/>
        <v>2677500</v>
      </c>
      <c r="J82">
        <f>SUMIFS(Cost!$I:$I, Cost!$A:$A, A82, Cost!$B:$B, E82)</f>
        <v>515</v>
      </c>
      <c r="K82" s="2">
        <f t="shared" si="3"/>
        <v>-0.22619047619047619</v>
      </c>
    </row>
    <row r="83" spans="1:11" x14ac:dyDescent="0.35">
      <c r="A83" t="s">
        <v>30</v>
      </c>
      <c r="B83" t="s">
        <v>31</v>
      </c>
      <c r="C83" t="s">
        <v>26</v>
      </c>
      <c r="D83" t="s">
        <v>24</v>
      </c>
      <c r="E83" t="s">
        <v>27</v>
      </c>
      <c r="F83">
        <v>6282</v>
      </c>
      <c r="G83">
        <v>5826</v>
      </c>
      <c r="H83">
        <v>374</v>
      </c>
      <c r="I83">
        <f t="shared" si="2"/>
        <v>2178924</v>
      </c>
      <c r="J83">
        <f>SUMIFS(Cost!$I:$I, Cost!$A:$A, A83, Cost!$B:$B, E83)</f>
        <v>515</v>
      </c>
      <c r="K83" s="2">
        <f t="shared" si="3"/>
        <v>-0.3770053475935829</v>
      </c>
    </row>
    <row r="84" spans="1:11" x14ac:dyDescent="0.35">
      <c r="A84" t="s">
        <v>30</v>
      </c>
      <c r="B84" t="s">
        <v>31</v>
      </c>
      <c r="C84" t="s">
        <v>10</v>
      </c>
      <c r="D84" t="s">
        <v>11</v>
      </c>
      <c r="E84" t="s">
        <v>28</v>
      </c>
      <c r="F84">
        <v>6419</v>
      </c>
      <c r="G84">
        <v>5892</v>
      </c>
      <c r="H84">
        <v>383</v>
      </c>
      <c r="I84">
        <f t="shared" si="2"/>
        <v>2256636</v>
      </c>
      <c r="J84">
        <f>SUMIFS(Cost!$I:$I, Cost!$A:$A, A84, Cost!$B:$B, E84)</f>
        <v>567</v>
      </c>
      <c r="K84" s="2">
        <f t="shared" si="3"/>
        <v>-0.48041775456919061</v>
      </c>
    </row>
    <row r="85" spans="1:11" x14ac:dyDescent="0.35">
      <c r="A85" t="s">
        <v>30</v>
      </c>
      <c r="B85" t="s">
        <v>31</v>
      </c>
      <c r="C85" t="s">
        <v>13</v>
      </c>
      <c r="D85" t="s">
        <v>11</v>
      </c>
      <c r="E85" t="s">
        <v>28</v>
      </c>
      <c r="F85">
        <v>5166</v>
      </c>
      <c r="G85">
        <v>4667</v>
      </c>
      <c r="H85">
        <v>465</v>
      </c>
      <c r="I85">
        <f t="shared" si="2"/>
        <v>2170155</v>
      </c>
      <c r="J85">
        <f>SUMIFS(Cost!$I:$I, Cost!$A:$A, A85, Cost!$B:$B, E85)</f>
        <v>567</v>
      </c>
      <c r="K85" s="2">
        <f t="shared" si="3"/>
        <v>-0.21935483870967742</v>
      </c>
    </row>
    <row r="86" spans="1:11" x14ac:dyDescent="0.35">
      <c r="A86" t="s">
        <v>30</v>
      </c>
      <c r="B86" t="s">
        <v>31</v>
      </c>
      <c r="C86" t="s">
        <v>14</v>
      </c>
      <c r="D86" t="s">
        <v>11</v>
      </c>
      <c r="E86" t="s">
        <v>28</v>
      </c>
      <c r="F86">
        <v>5314</v>
      </c>
      <c r="G86">
        <v>5225</v>
      </c>
      <c r="H86">
        <v>415</v>
      </c>
      <c r="I86">
        <f t="shared" si="2"/>
        <v>2168375</v>
      </c>
      <c r="J86">
        <f>SUMIFS(Cost!$I:$I, Cost!$A:$A, A86, Cost!$B:$B, E86)</f>
        <v>567</v>
      </c>
      <c r="K86" s="2">
        <f t="shared" si="3"/>
        <v>-0.36626506024096384</v>
      </c>
    </row>
    <row r="87" spans="1:11" x14ac:dyDescent="0.35">
      <c r="A87" t="s">
        <v>30</v>
      </c>
      <c r="B87" t="s">
        <v>31</v>
      </c>
      <c r="C87" t="s">
        <v>15</v>
      </c>
      <c r="D87" t="s">
        <v>16</v>
      </c>
      <c r="E87" t="s">
        <v>28</v>
      </c>
      <c r="F87">
        <v>5574</v>
      </c>
      <c r="G87">
        <v>5112</v>
      </c>
      <c r="H87">
        <v>566</v>
      </c>
      <c r="I87">
        <f t="shared" si="2"/>
        <v>2893392</v>
      </c>
      <c r="J87">
        <f>SUMIFS(Cost!$I:$I, Cost!$A:$A, A87, Cost!$B:$B, E87)</f>
        <v>567</v>
      </c>
      <c r="K87" s="2">
        <f t="shared" si="3"/>
        <v>-1.7667844522968198E-3</v>
      </c>
    </row>
    <row r="88" spans="1:11" x14ac:dyDescent="0.35">
      <c r="A88" t="s">
        <v>30</v>
      </c>
      <c r="B88" t="s">
        <v>31</v>
      </c>
      <c r="C88" t="s">
        <v>17</v>
      </c>
      <c r="D88" t="s">
        <v>16</v>
      </c>
      <c r="E88" t="s">
        <v>28</v>
      </c>
      <c r="F88">
        <v>6207</v>
      </c>
      <c r="G88">
        <v>6156</v>
      </c>
      <c r="H88">
        <v>334</v>
      </c>
      <c r="I88">
        <f t="shared" si="2"/>
        <v>2056104</v>
      </c>
      <c r="J88">
        <f>SUMIFS(Cost!$I:$I, Cost!$A:$A, A88, Cost!$B:$B, E88)</f>
        <v>567</v>
      </c>
      <c r="K88" s="2">
        <f t="shared" si="3"/>
        <v>-0.69760479041916168</v>
      </c>
    </row>
    <row r="89" spans="1:11" x14ac:dyDescent="0.35">
      <c r="A89" t="s">
        <v>32</v>
      </c>
      <c r="B89" t="s">
        <v>31</v>
      </c>
      <c r="C89" t="s">
        <v>10</v>
      </c>
      <c r="D89" t="s">
        <v>11</v>
      </c>
      <c r="E89" t="s">
        <v>12</v>
      </c>
      <c r="F89">
        <v>5830</v>
      </c>
      <c r="G89">
        <v>5199</v>
      </c>
      <c r="H89">
        <v>360</v>
      </c>
      <c r="I89">
        <f t="shared" si="2"/>
        <v>1871640</v>
      </c>
      <c r="J89">
        <f>SUMIFS(Cost!$I:$I, Cost!$A:$A, A89, Cost!$B:$B, E89)</f>
        <v>376</v>
      </c>
      <c r="K89" s="2">
        <f t="shared" si="3"/>
        <v>-4.4444444444444446E-2</v>
      </c>
    </row>
    <row r="90" spans="1:11" x14ac:dyDescent="0.35">
      <c r="A90" t="s">
        <v>32</v>
      </c>
      <c r="B90" t="s">
        <v>31</v>
      </c>
      <c r="C90" t="s">
        <v>13</v>
      </c>
      <c r="D90" t="s">
        <v>11</v>
      </c>
      <c r="E90" t="s">
        <v>12</v>
      </c>
      <c r="F90">
        <v>6126</v>
      </c>
      <c r="G90">
        <v>5685</v>
      </c>
      <c r="H90">
        <v>551</v>
      </c>
      <c r="I90">
        <f t="shared" si="2"/>
        <v>3132435</v>
      </c>
      <c r="J90">
        <f>SUMIFS(Cost!$I:$I, Cost!$A:$A, A90, Cost!$B:$B, E90)</f>
        <v>376</v>
      </c>
      <c r="K90" s="2">
        <f t="shared" si="3"/>
        <v>0.31760435571687839</v>
      </c>
    </row>
    <row r="91" spans="1:11" x14ac:dyDescent="0.35">
      <c r="A91" t="s">
        <v>32</v>
      </c>
      <c r="B91" t="s">
        <v>31</v>
      </c>
      <c r="C91" t="s">
        <v>14</v>
      </c>
      <c r="D91" t="s">
        <v>11</v>
      </c>
      <c r="E91" t="s">
        <v>12</v>
      </c>
      <c r="F91">
        <v>6037</v>
      </c>
      <c r="G91">
        <v>5292</v>
      </c>
      <c r="H91">
        <v>365</v>
      </c>
      <c r="I91">
        <f t="shared" si="2"/>
        <v>1931580</v>
      </c>
      <c r="J91">
        <f>SUMIFS(Cost!$I:$I, Cost!$A:$A, A91, Cost!$B:$B, E91)</f>
        <v>376</v>
      </c>
      <c r="K91" s="2">
        <f t="shared" si="3"/>
        <v>-3.0136986301369864E-2</v>
      </c>
    </row>
    <row r="92" spans="1:11" x14ac:dyDescent="0.35">
      <c r="A92" t="s">
        <v>32</v>
      </c>
      <c r="B92" t="s">
        <v>31</v>
      </c>
      <c r="C92" t="s">
        <v>15</v>
      </c>
      <c r="D92" t="s">
        <v>16</v>
      </c>
      <c r="E92" t="s">
        <v>12</v>
      </c>
      <c r="F92">
        <v>6069</v>
      </c>
      <c r="G92">
        <v>5518</v>
      </c>
      <c r="H92">
        <v>364</v>
      </c>
      <c r="I92">
        <f t="shared" si="2"/>
        <v>2008552</v>
      </c>
      <c r="J92">
        <f>SUMIFS(Cost!$I:$I, Cost!$A:$A, A92, Cost!$B:$B, E92)</f>
        <v>376</v>
      </c>
      <c r="K92" s="2">
        <f t="shared" si="3"/>
        <v>-3.2967032967032968E-2</v>
      </c>
    </row>
    <row r="93" spans="1:11" x14ac:dyDescent="0.35">
      <c r="A93" t="s">
        <v>32</v>
      </c>
      <c r="B93" t="s">
        <v>31</v>
      </c>
      <c r="C93" t="s">
        <v>17</v>
      </c>
      <c r="D93" t="s">
        <v>16</v>
      </c>
      <c r="E93" t="s">
        <v>12</v>
      </c>
      <c r="F93">
        <v>5217</v>
      </c>
      <c r="G93">
        <v>4977</v>
      </c>
      <c r="H93">
        <v>400</v>
      </c>
      <c r="I93">
        <f t="shared" si="2"/>
        <v>1990800</v>
      </c>
      <c r="J93">
        <f>SUMIFS(Cost!$I:$I, Cost!$A:$A, A93, Cost!$B:$B, E93)</f>
        <v>376</v>
      </c>
      <c r="K93" s="2">
        <f t="shared" si="3"/>
        <v>0.06</v>
      </c>
    </row>
    <row r="94" spans="1:11" x14ac:dyDescent="0.35">
      <c r="A94" t="s">
        <v>32</v>
      </c>
      <c r="B94" t="s">
        <v>31</v>
      </c>
      <c r="C94" t="s">
        <v>18</v>
      </c>
      <c r="D94" t="s">
        <v>16</v>
      </c>
      <c r="E94" t="s">
        <v>12</v>
      </c>
      <c r="F94">
        <v>6645</v>
      </c>
      <c r="G94">
        <v>6475</v>
      </c>
      <c r="H94">
        <v>506</v>
      </c>
      <c r="I94">
        <f t="shared" si="2"/>
        <v>3276350</v>
      </c>
      <c r="J94">
        <f>SUMIFS(Cost!$I:$I, Cost!$A:$A, A94, Cost!$B:$B, E94)</f>
        <v>376</v>
      </c>
      <c r="K94" s="2">
        <f t="shared" si="3"/>
        <v>0.25691699604743085</v>
      </c>
    </row>
    <row r="95" spans="1:11" x14ac:dyDescent="0.35">
      <c r="A95" t="s">
        <v>32</v>
      </c>
      <c r="B95" t="s">
        <v>31</v>
      </c>
      <c r="C95" t="s">
        <v>19</v>
      </c>
      <c r="D95" t="s">
        <v>20</v>
      </c>
      <c r="E95" t="s">
        <v>12</v>
      </c>
      <c r="F95">
        <v>6381</v>
      </c>
      <c r="G95">
        <v>6391</v>
      </c>
      <c r="H95">
        <v>440</v>
      </c>
      <c r="I95">
        <f t="shared" si="2"/>
        <v>2812040</v>
      </c>
      <c r="J95">
        <f>SUMIFS(Cost!$I:$I, Cost!$A:$A, A95, Cost!$B:$B, E95)</f>
        <v>376</v>
      </c>
      <c r="K95" s="2">
        <f t="shared" si="3"/>
        <v>0.14545454545454545</v>
      </c>
    </row>
    <row r="96" spans="1:11" x14ac:dyDescent="0.35">
      <c r="A96" t="s">
        <v>32</v>
      </c>
      <c r="B96" t="s">
        <v>31</v>
      </c>
      <c r="C96" t="s">
        <v>21</v>
      </c>
      <c r="D96" t="s">
        <v>20</v>
      </c>
      <c r="E96" t="s">
        <v>12</v>
      </c>
      <c r="F96">
        <v>5600</v>
      </c>
      <c r="G96">
        <v>5095</v>
      </c>
      <c r="H96">
        <v>513</v>
      </c>
      <c r="I96">
        <f t="shared" si="2"/>
        <v>2613735</v>
      </c>
      <c r="J96">
        <f>SUMIFS(Cost!$I:$I, Cost!$A:$A, A96, Cost!$B:$B, E96)</f>
        <v>376</v>
      </c>
      <c r="K96" s="2">
        <f t="shared" si="3"/>
        <v>0.26705653021442494</v>
      </c>
    </row>
    <row r="97" spans="1:11" x14ac:dyDescent="0.35">
      <c r="A97" t="s">
        <v>32</v>
      </c>
      <c r="B97" t="s">
        <v>31</v>
      </c>
      <c r="C97" t="s">
        <v>22</v>
      </c>
      <c r="D97" t="s">
        <v>20</v>
      </c>
      <c r="E97" t="s">
        <v>12</v>
      </c>
      <c r="F97">
        <v>5945</v>
      </c>
      <c r="G97">
        <v>5317</v>
      </c>
      <c r="H97">
        <v>516</v>
      </c>
      <c r="I97">
        <f t="shared" si="2"/>
        <v>2743572</v>
      </c>
      <c r="J97">
        <f>SUMIFS(Cost!$I:$I, Cost!$A:$A, A97, Cost!$B:$B, E97)</f>
        <v>376</v>
      </c>
      <c r="K97" s="2">
        <f t="shared" si="3"/>
        <v>0.27131782945736432</v>
      </c>
    </row>
    <row r="98" spans="1:11" x14ac:dyDescent="0.35">
      <c r="A98" t="s">
        <v>32</v>
      </c>
      <c r="B98" t="s">
        <v>31</v>
      </c>
      <c r="C98" t="s">
        <v>23</v>
      </c>
      <c r="D98" t="s">
        <v>24</v>
      </c>
      <c r="E98" t="s">
        <v>12</v>
      </c>
      <c r="F98">
        <v>6840</v>
      </c>
      <c r="G98">
        <v>6127</v>
      </c>
      <c r="H98">
        <v>492</v>
      </c>
      <c r="I98">
        <f t="shared" si="2"/>
        <v>3014484</v>
      </c>
      <c r="J98">
        <f>SUMIFS(Cost!$I:$I, Cost!$A:$A, A98, Cost!$B:$B, E98)</f>
        <v>376</v>
      </c>
      <c r="K98" s="2">
        <f t="shared" si="3"/>
        <v>0.23577235772357724</v>
      </c>
    </row>
    <row r="99" spans="1:11" x14ac:dyDescent="0.35">
      <c r="A99" t="s">
        <v>32</v>
      </c>
      <c r="B99" t="s">
        <v>31</v>
      </c>
      <c r="C99" t="s">
        <v>25</v>
      </c>
      <c r="D99" t="s">
        <v>24</v>
      </c>
      <c r="E99" t="s">
        <v>12</v>
      </c>
      <c r="F99">
        <v>6716</v>
      </c>
      <c r="G99">
        <v>6411</v>
      </c>
      <c r="H99">
        <v>347</v>
      </c>
      <c r="I99">
        <f t="shared" si="2"/>
        <v>2224617</v>
      </c>
      <c r="J99">
        <f>SUMIFS(Cost!$I:$I, Cost!$A:$A, A99, Cost!$B:$B, E99)</f>
        <v>376</v>
      </c>
      <c r="K99" s="2">
        <f t="shared" si="3"/>
        <v>-8.3573487031700283E-2</v>
      </c>
    </row>
    <row r="100" spans="1:11" x14ac:dyDescent="0.35">
      <c r="A100" t="s">
        <v>32</v>
      </c>
      <c r="B100" t="s">
        <v>31</v>
      </c>
      <c r="C100" t="s">
        <v>26</v>
      </c>
      <c r="D100" t="s">
        <v>24</v>
      </c>
      <c r="E100" t="s">
        <v>12</v>
      </c>
      <c r="F100">
        <v>6186</v>
      </c>
      <c r="G100">
        <v>5424</v>
      </c>
      <c r="H100">
        <v>328</v>
      </c>
      <c r="I100">
        <f t="shared" si="2"/>
        <v>1779072</v>
      </c>
      <c r="J100">
        <f>SUMIFS(Cost!$I:$I, Cost!$A:$A, A100, Cost!$B:$B, E100)</f>
        <v>376</v>
      </c>
      <c r="K100" s="2">
        <f t="shared" si="3"/>
        <v>-0.14634146341463414</v>
      </c>
    </row>
    <row r="101" spans="1:11" x14ac:dyDescent="0.35">
      <c r="A101" t="s">
        <v>32</v>
      </c>
      <c r="B101" t="s">
        <v>31</v>
      </c>
      <c r="C101" t="s">
        <v>10</v>
      </c>
      <c r="D101" t="s">
        <v>11</v>
      </c>
      <c r="E101" t="s">
        <v>27</v>
      </c>
      <c r="F101">
        <v>5741</v>
      </c>
      <c r="G101">
        <v>5391</v>
      </c>
      <c r="H101">
        <v>427</v>
      </c>
      <c r="I101">
        <f t="shared" si="2"/>
        <v>2301957</v>
      </c>
      <c r="J101">
        <f>SUMIFS(Cost!$I:$I, Cost!$A:$A, A101, Cost!$B:$B, E101)</f>
        <v>420</v>
      </c>
      <c r="K101" s="2">
        <f t="shared" si="3"/>
        <v>1.6393442622950821E-2</v>
      </c>
    </row>
    <row r="102" spans="1:11" x14ac:dyDescent="0.35">
      <c r="A102" t="s">
        <v>32</v>
      </c>
      <c r="B102" t="s">
        <v>31</v>
      </c>
      <c r="C102" t="s">
        <v>13</v>
      </c>
      <c r="D102" t="s">
        <v>11</v>
      </c>
      <c r="E102" t="s">
        <v>27</v>
      </c>
      <c r="F102">
        <v>6007</v>
      </c>
      <c r="G102">
        <v>5472</v>
      </c>
      <c r="H102">
        <v>570</v>
      </c>
      <c r="I102">
        <f t="shared" si="2"/>
        <v>3119040</v>
      </c>
      <c r="J102">
        <f>SUMIFS(Cost!$I:$I, Cost!$A:$A, A102, Cost!$B:$B, E102)</f>
        <v>420</v>
      </c>
      <c r="K102" s="2">
        <f t="shared" si="3"/>
        <v>0.26315789473684209</v>
      </c>
    </row>
    <row r="103" spans="1:11" x14ac:dyDescent="0.35">
      <c r="A103" t="s">
        <v>32</v>
      </c>
      <c r="B103" t="s">
        <v>31</v>
      </c>
      <c r="C103" t="s">
        <v>14</v>
      </c>
      <c r="D103" t="s">
        <v>11</v>
      </c>
      <c r="E103" t="s">
        <v>27</v>
      </c>
      <c r="F103">
        <v>6764</v>
      </c>
      <c r="G103">
        <v>5804</v>
      </c>
      <c r="H103">
        <v>404</v>
      </c>
      <c r="I103">
        <f t="shared" si="2"/>
        <v>2344816</v>
      </c>
      <c r="J103">
        <f>SUMIFS(Cost!$I:$I, Cost!$A:$A, A103, Cost!$B:$B, E103)</f>
        <v>420</v>
      </c>
      <c r="K103" s="2">
        <f t="shared" si="3"/>
        <v>-3.9603960396039604E-2</v>
      </c>
    </row>
    <row r="104" spans="1:11" x14ac:dyDescent="0.35">
      <c r="A104" t="s">
        <v>32</v>
      </c>
      <c r="B104" t="s">
        <v>31</v>
      </c>
      <c r="C104" t="s">
        <v>15</v>
      </c>
      <c r="D104" t="s">
        <v>16</v>
      </c>
      <c r="E104" t="s">
        <v>27</v>
      </c>
      <c r="F104">
        <v>6130</v>
      </c>
      <c r="G104">
        <v>5585</v>
      </c>
      <c r="H104">
        <v>428</v>
      </c>
      <c r="I104">
        <f t="shared" si="2"/>
        <v>2390380</v>
      </c>
      <c r="J104">
        <f>SUMIFS(Cost!$I:$I, Cost!$A:$A, A104, Cost!$B:$B, E104)</f>
        <v>420</v>
      </c>
      <c r="K104" s="2">
        <f t="shared" si="3"/>
        <v>1.8691588785046728E-2</v>
      </c>
    </row>
    <row r="105" spans="1:11" x14ac:dyDescent="0.35">
      <c r="A105" t="s">
        <v>32</v>
      </c>
      <c r="B105" t="s">
        <v>31</v>
      </c>
      <c r="C105" t="s">
        <v>17</v>
      </c>
      <c r="D105" t="s">
        <v>16</v>
      </c>
      <c r="E105" t="s">
        <v>27</v>
      </c>
      <c r="F105">
        <v>5570</v>
      </c>
      <c r="G105">
        <v>5265</v>
      </c>
      <c r="H105">
        <v>497</v>
      </c>
      <c r="I105">
        <f t="shared" si="2"/>
        <v>2616705</v>
      </c>
      <c r="J105">
        <f>SUMIFS(Cost!$I:$I, Cost!$A:$A, A105, Cost!$B:$B, E105)</f>
        <v>420</v>
      </c>
      <c r="K105" s="2">
        <f t="shared" si="3"/>
        <v>0.15492957746478872</v>
      </c>
    </row>
    <row r="106" spans="1:11" x14ac:dyDescent="0.35">
      <c r="A106" t="s">
        <v>32</v>
      </c>
      <c r="B106" t="s">
        <v>31</v>
      </c>
      <c r="C106" t="s">
        <v>18</v>
      </c>
      <c r="D106" t="s">
        <v>16</v>
      </c>
      <c r="E106" t="s">
        <v>27</v>
      </c>
      <c r="F106">
        <v>5994</v>
      </c>
      <c r="G106">
        <v>5158</v>
      </c>
      <c r="H106">
        <v>480</v>
      </c>
      <c r="I106">
        <f t="shared" si="2"/>
        <v>2475840</v>
      </c>
      <c r="J106">
        <f>SUMIFS(Cost!$I:$I, Cost!$A:$A, A106, Cost!$B:$B, E106)</f>
        <v>420</v>
      </c>
      <c r="K106" s="2">
        <f t="shared" si="3"/>
        <v>0.125</v>
      </c>
    </row>
    <row r="107" spans="1:11" x14ac:dyDescent="0.35">
      <c r="A107" t="s">
        <v>32</v>
      </c>
      <c r="B107" t="s">
        <v>31</v>
      </c>
      <c r="C107" t="s">
        <v>19</v>
      </c>
      <c r="D107" t="s">
        <v>20</v>
      </c>
      <c r="E107" t="s">
        <v>27</v>
      </c>
      <c r="F107">
        <v>5649</v>
      </c>
      <c r="G107">
        <v>5450</v>
      </c>
      <c r="H107">
        <v>396</v>
      </c>
      <c r="I107">
        <f t="shared" si="2"/>
        <v>2158200</v>
      </c>
      <c r="J107">
        <f>SUMIFS(Cost!$I:$I, Cost!$A:$A, A107, Cost!$B:$B, E107)</f>
        <v>420</v>
      </c>
      <c r="K107" s="2">
        <f t="shared" si="3"/>
        <v>-6.0606060606060608E-2</v>
      </c>
    </row>
    <row r="108" spans="1:11" x14ac:dyDescent="0.35">
      <c r="A108" t="s">
        <v>32</v>
      </c>
      <c r="B108" t="s">
        <v>31</v>
      </c>
      <c r="C108" t="s">
        <v>21</v>
      </c>
      <c r="D108" t="s">
        <v>20</v>
      </c>
      <c r="E108" t="s">
        <v>27</v>
      </c>
      <c r="F108">
        <v>5417</v>
      </c>
      <c r="G108">
        <v>4790</v>
      </c>
      <c r="H108">
        <v>374</v>
      </c>
      <c r="I108">
        <f t="shared" si="2"/>
        <v>1791460</v>
      </c>
      <c r="J108">
        <f>SUMIFS(Cost!$I:$I, Cost!$A:$A, A108, Cost!$B:$B, E108)</f>
        <v>420</v>
      </c>
      <c r="K108" s="2">
        <f t="shared" si="3"/>
        <v>-0.12299465240641712</v>
      </c>
    </row>
    <row r="109" spans="1:11" x14ac:dyDescent="0.35">
      <c r="A109" t="s">
        <v>32</v>
      </c>
      <c r="B109" t="s">
        <v>31</v>
      </c>
      <c r="C109" t="s">
        <v>22</v>
      </c>
      <c r="D109" t="s">
        <v>20</v>
      </c>
      <c r="E109" t="s">
        <v>27</v>
      </c>
      <c r="F109">
        <v>5324</v>
      </c>
      <c r="G109">
        <v>5006</v>
      </c>
      <c r="H109">
        <v>444</v>
      </c>
      <c r="I109">
        <f t="shared" si="2"/>
        <v>2222664</v>
      </c>
      <c r="J109">
        <f>SUMIFS(Cost!$I:$I, Cost!$A:$A, A109, Cost!$B:$B, E109)</f>
        <v>420</v>
      </c>
      <c r="K109" s="2">
        <f t="shared" si="3"/>
        <v>5.4054054054054057E-2</v>
      </c>
    </row>
    <row r="110" spans="1:11" x14ac:dyDescent="0.35">
      <c r="A110" t="s">
        <v>32</v>
      </c>
      <c r="B110" t="s">
        <v>31</v>
      </c>
      <c r="C110" t="s">
        <v>23</v>
      </c>
      <c r="D110" t="s">
        <v>24</v>
      </c>
      <c r="E110" t="s">
        <v>27</v>
      </c>
      <c r="F110">
        <v>6387</v>
      </c>
      <c r="G110">
        <v>5913</v>
      </c>
      <c r="H110">
        <v>385</v>
      </c>
      <c r="I110">
        <f t="shared" si="2"/>
        <v>2276505</v>
      </c>
      <c r="J110">
        <f>SUMIFS(Cost!$I:$I, Cost!$A:$A, A110, Cost!$B:$B, E110)</f>
        <v>420</v>
      </c>
      <c r="K110" s="2">
        <f t="shared" si="3"/>
        <v>-9.0909090909090912E-2</v>
      </c>
    </row>
    <row r="111" spans="1:11" x14ac:dyDescent="0.35">
      <c r="A111" t="s">
        <v>32</v>
      </c>
      <c r="B111" t="s">
        <v>31</v>
      </c>
      <c r="C111" t="s">
        <v>25</v>
      </c>
      <c r="D111" t="s">
        <v>24</v>
      </c>
      <c r="E111" t="s">
        <v>27</v>
      </c>
      <c r="F111">
        <v>5409</v>
      </c>
      <c r="G111">
        <v>4969</v>
      </c>
      <c r="H111">
        <v>396</v>
      </c>
      <c r="I111">
        <f t="shared" si="2"/>
        <v>1967724</v>
      </c>
      <c r="J111">
        <f>SUMIFS(Cost!$I:$I, Cost!$A:$A, A111, Cost!$B:$B, E111)</f>
        <v>420</v>
      </c>
      <c r="K111" s="2">
        <f t="shared" si="3"/>
        <v>-6.0606060606060608E-2</v>
      </c>
    </row>
    <row r="112" spans="1:11" x14ac:dyDescent="0.35">
      <c r="A112" t="s">
        <v>32</v>
      </c>
      <c r="B112" t="s">
        <v>31</v>
      </c>
      <c r="C112" t="s">
        <v>26</v>
      </c>
      <c r="D112" t="s">
        <v>24</v>
      </c>
      <c r="E112" t="s">
        <v>27</v>
      </c>
      <c r="F112">
        <v>6656</v>
      </c>
      <c r="G112">
        <v>6303</v>
      </c>
      <c r="H112">
        <v>428</v>
      </c>
      <c r="I112">
        <f t="shared" si="2"/>
        <v>2697684</v>
      </c>
      <c r="J112">
        <f>SUMIFS(Cost!$I:$I, Cost!$A:$A, A112, Cost!$B:$B, E112)</f>
        <v>420</v>
      </c>
      <c r="K112" s="2">
        <f t="shared" si="3"/>
        <v>1.8691588785046728E-2</v>
      </c>
    </row>
    <row r="113" spans="1:11" x14ac:dyDescent="0.35">
      <c r="A113" t="s">
        <v>32</v>
      </c>
      <c r="B113" t="s">
        <v>31</v>
      </c>
      <c r="C113" t="s">
        <v>10</v>
      </c>
      <c r="D113" t="s">
        <v>11</v>
      </c>
      <c r="E113" t="s">
        <v>28</v>
      </c>
      <c r="F113">
        <v>5528</v>
      </c>
      <c r="G113">
        <v>5078</v>
      </c>
      <c r="H113">
        <v>532</v>
      </c>
      <c r="I113">
        <f t="shared" si="2"/>
        <v>2701496</v>
      </c>
      <c r="J113">
        <f>SUMIFS(Cost!$I:$I, Cost!$A:$A, A113, Cost!$B:$B, E113)</f>
        <v>448</v>
      </c>
      <c r="K113" s="2">
        <f t="shared" si="3"/>
        <v>0.15789473684210525</v>
      </c>
    </row>
    <row r="114" spans="1:11" x14ac:dyDescent="0.35">
      <c r="A114" t="s">
        <v>32</v>
      </c>
      <c r="B114" t="s">
        <v>31</v>
      </c>
      <c r="C114" t="s">
        <v>13</v>
      </c>
      <c r="D114" t="s">
        <v>11</v>
      </c>
      <c r="E114" t="s">
        <v>28</v>
      </c>
      <c r="F114">
        <v>5246</v>
      </c>
      <c r="G114">
        <v>4822</v>
      </c>
      <c r="H114">
        <v>404</v>
      </c>
      <c r="I114">
        <f t="shared" si="2"/>
        <v>1948088</v>
      </c>
      <c r="J114">
        <f>SUMIFS(Cost!$I:$I, Cost!$A:$A, A114, Cost!$B:$B, E114)</f>
        <v>448</v>
      </c>
      <c r="K114" s="2">
        <f t="shared" si="3"/>
        <v>-0.10891089108910891</v>
      </c>
    </row>
    <row r="115" spans="1:11" x14ac:dyDescent="0.35">
      <c r="A115" t="s">
        <v>32</v>
      </c>
      <c r="B115" t="s">
        <v>31</v>
      </c>
      <c r="C115" t="s">
        <v>14</v>
      </c>
      <c r="D115" t="s">
        <v>11</v>
      </c>
      <c r="E115" t="s">
        <v>28</v>
      </c>
      <c r="F115">
        <v>5469</v>
      </c>
      <c r="G115">
        <v>4700</v>
      </c>
      <c r="H115">
        <v>453</v>
      </c>
      <c r="I115">
        <f t="shared" si="2"/>
        <v>2129100</v>
      </c>
      <c r="J115">
        <f>SUMIFS(Cost!$I:$I, Cost!$A:$A, A115, Cost!$B:$B, E115)</f>
        <v>448</v>
      </c>
      <c r="K115" s="2">
        <f t="shared" si="3"/>
        <v>1.1037527593818985E-2</v>
      </c>
    </row>
    <row r="116" spans="1:11" x14ac:dyDescent="0.35">
      <c r="A116" t="s">
        <v>32</v>
      </c>
      <c r="B116" t="s">
        <v>31</v>
      </c>
      <c r="C116" t="s">
        <v>15</v>
      </c>
      <c r="D116" t="s">
        <v>16</v>
      </c>
      <c r="E116" t="s">
        <v>28</v>
      </c>
      <c r="F116">
        <v>6613</v>
      </c>
      <c r="G116">
        <v>6252</v>
      </c>
      <c r="H116">
        <v>475</v>
      </c>
      <c r="I116">
        <f t="shared" si="2"/>
        <v>2969700</v>
      </c>
      <c r="J116">
        <f>SUMIFS(Cost!$I:$I, Cost!$A:$A, A116, Cost!$B:$B, E116)</f>
        <v>448</v>
      </c>
      <c r="K116" s="2">
        <f t="shared" si="3"/>
        <v>5.6842105263157895E-2</v>
      </c>
    </row>
    <row r="117" spans="1:11" x14ac:dyDescent="0.35">
      <c r="A117" t="s">
        <v>32</v>
      </c>
      <c r="B117" t="s">
        <v>31</v>
      </c>
      <c r="C117" t="s">
        <v>17</v>
      </c>
      <c r="D117" t="s">
        <v>16</v>
      </c>
      <c r="E117" t="s">
        <v>28</v>
      </c>
      <c r="F117">
        <v>5376</v>
      </c>
      <c r="G117">
        <v>4852</v>
      </c>
      <c r="H117">
        <v>448</v>
      </c>
      <c r="I117">
        <f t="shared" si="2"/>
        <v>2173696</v>
      </c>
      <c r="J117">
        <f>SUMIFS(Cost!$I:$I, Cost!$A:$A, A117, Cost!$B:$B, E117)</f>
        <v>448</v>
      </c>
      <c r="K117" s="2">
        <f t="shared" si="3"/>
        <v>0</v>
      </c>
    </row>
    <row r="118" spans="1:11" x14ac:dyDescent="0.35">
      <c r="A118" t="s">
        <v>33</v>
      </c>
      <c r="B118" t="s">
        <v>34</v>
      </c>
      <c r="C118" t="s">
        <v>10</v>
      </c>
      <c r="D118" t="s">
        <v>11</v>
      </c>
      <c r="E118" t="s">
        <v>12</v>
      </c>
      <c r="F118">
        <v>5395</v>
      </c>
      <c r="G118">
        <v>5148</v>
      </c>
      <c r="H118">
        <v>452</v>
      </c>
      <c r="I118">
        <f t="shared" si="2"/>
        <v>2326896</v>
      </c>
      <c r="J118">
        <f>SUMIFS(Cost!$I:$I, Cost!$A:$A, A118, Cost!$B:$B, E118)</f>
        <v>326</v>
      </c>
      <c r="K118" s="2">
        <f t="shared" si="3"/>
        <v>0.27876106194690264</v>
      </c>
    </row>
    <row r="119" spans="1:11" x14ac:dyDescent="0.35">
      <c r="A119" t="s">
        <v>33</v>
      </c>
      <c r="B119" t="s">
        <v>34</v>
      </c>
      <c r="C119" t="s">
        <v>13</v>
      </c>
      <c r="D119" t="s">
        <v>11</v>
      </c>
      <c r="E119" t="s">
        <v>12</v>
      </c>
      <c r="F119">
        <v>6642</v>
      </c>
      <c r="G119">
        <v>5773</v>
      </c>
      <c r="H119">
        <v>493</v>
      </c>
      <c r="I119">
        <f t="shared" si="2"/>
        <v>2846089</v>
      </c>
      <c r="J119">
        <f>SUMIFS(Cost!$I:$I, Cost!$A:$A, A119, Cost!$B:$B, E119)</f>
        <v>326</v>
      </c>
      <c r="K119" s="2">
        <f t="shared" si="3"/>
        <v>0.33874239350912777</v>
      </c>
    </row>
    <row r="120" spans="1:11" x14ac:dyDescent="0.35">
      <c r="A120" t="s">
        <v>33</v>
      </c>
      <c r="B120" t="s">
        <v>34</v>
      </c>
      <c r="C120" t="s">
        <v>14</v>
      </c>
      <c r="D120" t="s">
        <v>11</v>
      </c>
      <c r="E120" t="s">
        <v>12</v>
      </c>
      <c r="F120">
        <v>6502</v>
      </c>
      <c r="G120">
        <v>5753</v>
      </c>
      <c r="H120">
        <v>518</v>
      </c>
      <c r="I120">
        <f t="shared" si="2"/>
        <v>2980054</v>
      </c>
      <c r="J120">
        <f>SUMIFS(Cost!$I:$I, Cost!$A:$A, A120, Cost!$B:$B, E120)</f>
        <v>326</v>
      </c>
      <c r="K120" s="2">
        <f t="shared" si="3"/>
        <v>0.37065637065637064</v>
      </c>
    </row>
    <row r="121" spans="1:11" x14ac:dyDescent="0.35">
      <c r="A121" t="s">
        <v>33</v>
      </c>
      <c r="B121" t="s">
        <v>34</v>
      </c>
      <c r="C121" t="s">
        <v>15</v>
      </c>
      <c r="D121" t="s">
        <v>16</v>
      </c>
      <c r="E121" t="s">
        <v>12</v>
      </c>
      <c r="F121">
        <v>5462</v>
      </c>
      <c r="G121">
        <v>5005</v>
      </c>
      <c r="H121">
        <v>527</v>
      </c>
      <c r="I121">
        <f t="shared" si="2"/>
        <v>2637635</v>
      </c>
      <c r="J121">
        <f>SUMIFS(Cost!$I:$I, Cost!$A:$A, A121, Cost!$B:$B, E121)</f>
        <v>326</v>
      </c>
      <c r="K121" s="2">
        <f t="shared" si="3"/>
        <v>0.38140417457305503</v>
      </c>
    </row>
    <row r="122" spans="1:11" x14ac:dyDescent="0.35">
      <c r="A122" t="s">
        <v>33</v>
      </c>
      <c r="B122" t="s">
        <v>34</v>
      </c>
      <c r="C122" t="s">
        <v>17</v>
      </c>
      <c r="D122" t="s">
        <v>16</v>
      </c>
      <c r="E122" t="s">
        <v>12</v>
      </c>
      <c r="F122">
        <v>5382</v>
      </c>
      <c r="G122">
        <v>5012</v>
      </c>
      <c r="H122">
        <v>378</v>
      </c>
      <c r="I122">
        <f t="shared" si="2"/>
        <v>1894536</v>
      </c>
      <c r="J122">
        <f>SUMIFS(Cost!$I:$I, Cost!$A:$A, A122, Cost!$B:$B, E122)</f>
        <v>326</v>
      </c>
      <c r="K122" s="2">
        <f t="shared" si="3"/>
        <v>0.13756613756613756</v>
      </c>
    </row>
    <row r="123" spans="1:11" x14ac:dyDescent="0.35">
      <c r="A123" t="s">
        <v>33</v>
      </c>
      <c r="B123" t="s">
        <v>34</v>
      </c>
      <c r="C123" t="s">
        <v>18</v>
      </c>
      <c r="D123" t="s">
        <v>16</v>
      </c>
      <c r="E123" t="s">
        <v>12</v>
      </c>
      <c r="F123">
        <v>5400</v>
      </c>
      <c r="G123">
        <v>4918</v>
      </c>
      <c r="H123">
        <v>368</v>
      </c>
      <c r="I123">
        <f t="shared" si="2"/>
        <v>1809824</v>
      </c>
      <c r="J123">
        <f>SUMIFS(Cost!$I:$I, Cost!$A:$A, A123, Cost!$B:$B, E123)</f>
        <v>326</v>
      </c>
      <c r="K123" s="2">
        <f t="shared" si="3"/>
        <v>0.11413043478260869</v>
      </c>
    </row>
    <row r="124" spans="1:11" x14ac:dyDescent="0.35">
      <c r="A124" t="s">
        <v>33</v>
      </c>
      <c r="B124" t="s">
        <v>34</v>
      </c>
      <c r="C124" t="s">
        <v>19</v>
      </c>
      <c r="D124" t="s">
        <v>20</v>
      </c>
      <c r="E124" t="s">
        <v>12</v>
      </c>
      <c r="F124">
        <v>5775</v>
      </c>
      <c r="G124">
        <v>5421</v>
      </c>
      <c r="H124">
        <v>360</v>
      </c>
      <c r="I124">
        <f t="shared" si="2"/>
        <v>1951560</v>
      </c>
      <c r="J124">
        <f>SUMIFS(Cost!$I:$I, Cost!$A:$A, A124, Cost!$B:$B, E124)</f>
        <v>326</v>
      </c>
      <c r="K124" s="2">
        <f t="shared" si="3"/>
        <v>9.4444444444444442E-2</v>
      </c>
    </row>
    <row r="125" spans="1:11" x14ac:dyDescent="0.35">
      <c r="A125" t="s">
        <v>33</v>
      </c>
      <c r="B125" t="s">
        <v>34</v>
      </c>
      <c r="C125" t="s">
        <v>21</v>
      </c>
      <c r="D125" t="s">
        <v>20</v>
      </c>
      <c r="E125" t="s">
        <v>12</v>
      </c>
      <c r="F125">
        <v>5357</v>
      </c>
      <c r="G125">
        <v>4973</v>
      </c>
      <c r="H125">
        <v>480</v>
      </c>
      <c r="I125">
        <f t="shared" si="2"/>
        <v>2387040</v>
      </c>
      <c r="J125">
        <f>SUMIFS(Cost!$I:$I, Cost!$A:$A, A125, Cost!$B:$B, E125)</f>
        <v>326</v>
      </c>
      <c r="K125" s="2">
        <f t="shared" si="3"/>
        <v>0.32083333333333336</v>
      </c>
    </row>
    <row r="126" spans="1:11" x14ac:dyDescent="0.35">
      <c r="A126" t="s">
        <v>33</v>
      </c>
      <c r="B126" t="s">
        <v>34</v>
      </c>
      <c r="C126" t="s">
        <v>22</v>
      </c>
      <c r="D126" t="s">
        <v>20</v>
      </c>
      <c r="E126" t="s">
        <v>12</v>
      </c>
      <c r="F126">
        <v>5439</v>
      </c>
      <c r="G126">
        <v>4938</v>
      </c>
      <c r="H126">
        <v>374</v>
      </c>
      <c r="I126">
        <f t="shared" si="2"/>
        <v>1846812</v>
      </c>
      <c r="J126">
        <f>SUMIFS(Cost!$I:$I, Cost!$A:$A, A126, Cost!$B:$B, E126)</f>
        <v>326</v>
      </c>
      <c r="K126" s="2">
        <f t="shared" si="3"/>
        <v>0.12834224598930483</v>
      </c>
    </row>
    <row r="127" spans="1:11" x14ac:dyDescent="0.35">
      <c r="A127" t="s">
        <v>33</v>
      </c>
      <c r="B127" t="s">
        <v>34</v>
      </c>
      <c r="C127" t="s">
        <v>23</v>
      </c>
      <c r="D127" t="s">
        <v>24</v>
      </c>
      <c r="E127" t="s">
        <v>12</v>
      </c>
      <c r="F127">
        <v>6330</v>
      </c>
      <c r="G127">
        <v>5718</v>
      </c>
      <c r="H127">
        <v>446</v>
      </c>
      <c r="I127">
        <f t="shared" si="2"/>
        <v>2550228</v>
      </c>
      <c r="J127">
        <f>SUMIFS(Cost!$I:$I, Cost!$A:$A, A127, Cost!$B:$B, E127)</f>
        <v>326</v>
      </c>
      <c r="K127" s="2">
        <f t="shared" si="3"/>
        <v>0.26905829596412556</v>
      </c>
    </row>
    <row r="128" spans="1:11" x14ac:dyDescent="0.35">
      <c r="A128" t="s">
        <v>33</v>
      </c>
      <c r="B128" t="s">
        <v>34</v>
      </c>
      <c r="C128" t="s">
        <v>25</v>
      </c>
      <c r="D128" t="s">
        <v>24</v>
      </c>
      <c r="E128" t="s">
        <v>12</v>
      </c>
      <c r="F128">
        <v>5218</v>
      </c>
      <c r="G128">
        <v>4737</v>
      </c>
      <c r="H128">
        <v>499</v>
      </c>
      <c r="I128">
        <f t="shared" si="2"/>
        <v>2363763</v>
      </c>
      <c r="J128">
        <f>SUMIFS(Cost!$I:$I, Cost!$A:$A, A128, Cost!$B:$B, E128)</f>
        <v>326</v>
      </c>
      <c r="K128" s="2">
        <f t="shared" si="3"/>
        <v>0.34669338677354711</v>
      </c>
    </row>
    <row r="129" spans="1:11" x14ac:dyDescent="0.35">
      <c r="A129" t="s">
        <v>33</v>
      </c>
      <c r="B129" t="s">
        <v>34</v>
      </c>
      <c r="C129" t="s">
        <v>26</v>
      </c>
      <c r="D129" t="s">
        <v>24</v>
      </c>
      <c r="E129" t="s">
        <v>12</v>
      </c>
      <c r="F129">
        <v>5811</v>
      </c>
      <c r="G129">
        <v>5769</v>
      </c>
      <c r="H129">
        <v>448</v>
      </c>
      <c r="I129">
        <f t="shared" si="2"/>
        <v>2584512</v>
      </c>
      <c r="J129">
        <f>SUMIFS(Cost!$I:$I, Cost!$A:$A, A129, Cost!$B:$B, E129)</f>
        <v>326</v>
      </c>
      <c r="K129" s="2">
        <f t="shared" si="3"/>
        <v>0.27232142857142855</v>
      </c>
    </row>
    <row r="130" spans="1:11" x14ac:dyDescent="0.35">
      <c r="A130" t="s">
        <v>33</v>
      </c>
      <c r="B130" t="s">
        <v>34</v>
      </c>
      <c r="C130" t="s">
        <v>10</v>
      </c>
      <c r="D130" t="s">
        <v>11</v>
      </c>
      <c r="E130" t="s">
        <v>27</v>
      </c>
      <c r="F130">
        <v>5908</v>
      </c>
      <c r="G130">
        <v>5649</v>
      </c>
      <c r="H130">
        <v>531</v>
      </c>
      <c r="I130">
        <f t="shared" si="2"/>
        <v>2999619</v>
      </c>
      <c r="J130">
        <f>SUMIFS(Cost!$I:$I, Cost!$A:$A, A130, Cost!$B:$B, E130)</f>
        <v>375</v>
      </c>
      <c r="K130" s="2">
        <f t="shared" si="3"/>
        <v>0.29378531073446329</v>
      </c>
    </row>
    <row r="131" spans="1:11" x14ac:dyDescent="0.35">
      <c r="A131" t="s">
        <v>33</v>
      </c>
      <c r="B131" t="s">
        <v>34</v>
      </c>
      <c r="C131" t="s">
        <v>13</v>
      </c>
      <c r="D131" t="s">
        <v>11</v>
      </c>
      <c r="E131" t="s">
        <v>27</v>
      </c>
      <c r="F131">
        <v>5684</v>
      </c>
      <c r="G131">
        <v>5254</v>
      </c>
      <c r="H131">
        <v>408</v>
      </c>
      <c r="I131">
        <f t="shared" ref="I131:I175" si="4">G131*H131</f>
        <v>2143632</v>
      </c>
      <c r="J131">
        <f>SUMIFS(Cost!$I:$I, Cost!$A:$A, A131, Cost!$B:$B, E131)</f>
        <v>375</v>
      </c>
      <c r="K131" s="2">
        <f t="shared" ref="K131:K175" si="5">(H131-J131)/H131</f>
        <v>8.0882352941176475E-2</v>
      </c>
    </row>
    <row r="132" spans="1:11" x14ac:dyDescent="0.35">
      <c r="A132" t="s">
        <v>33</v>
      </c>
      <c r="B132" t="s">
        <v>34</v>
      </c>
      <c r="C132" t="s">
        <v>14</v>
      </c>
      <c r="D132" t="s">
        <v>11</v>
      </c>
      <c r="E132" t="s">
        <v>27</v>
      </c>
      <c r="F132">
        <v>6373</v>
      </c>
      <c r="G132">
        <v>5532</v>
      </c>
      <c r="H132">
        <v>416</v>
      </c>
      <c r="I132">
        <f t="shared" si="4"/>
        <v>2301312</v>
      </c>
      <c r="J132">
        <f>SUMIFS(Cost!$I:$I, Cost!$A:$A, A132, Cost!$B:$B, E132)</f>
        <v>375</v>
      </c>
      <c r="K132" s="2">
        <f t="shared" si="5"/>
        <v>9.8557692307692304E-2</v>
      </c>
    </row>
    <row r="133" spans="1:11" x14ac:dyDescent="0.35">
      <c r="A133" t="s">
        <v>33</v>
      </c>
      <c r="B133" t="s">
        <v>34</v>
      </c>
      <c r="C133" t="s">
        <v>15</v>
      </c>
      <c r="D133" t="s">
        <v>16</v>
      </c>
      <c r="E133" t="s">
        <v>27</v>
      </c>
      <c r="F133">
        <v>6656</v>
      </c>
      <c r="G133">
        <v>6231</v>
      </c>
      <c r="H133">
        <v>368</v>
      </c>
      <c r="I133">
        <f t="shared" si="4"/>
        <v>2293008</v>
      </c>
      <c r="J133">
        <f>SUMIFS(Cost!$I:$I, Cost!$A:$A, A133, Cost!$B:$B, E133)</f>
        <v>375</v>
      </c>
      <c r="K133" s="2">
        <f t="shared" si="5"/>
        <v>-1.9021739130434784E-2</v>
      </c>
    </row>
    <row r="134" spans="1:11" x14ac:dyDescent="0.35">
      <c r="A134" t="s">
        <v>33</v>
      </c>
      <c r="B134" t="s">
        <v>34</v>
      </c>
      <c r="C134" t="s">
        <v>17</v>
      </c>
      <c r="D134" t="s">
        <v>16</v>
      </c>
      <c r="E134" t="s">
        <v>27</v>
      </c>
      <c r="F134">
        <v>5436</v>
      </c>
      <c r="G134">
        <v>4799</v>
      </c>
      <c r="H134">
        <v>367</v>
      </c>
      <c r="I134">
        <f t="shared" si="4"/>
        <v>1761233</v>
      </c>
      <c r="J134">
        <f>SUMIFS(Cost!$I:$I, Cost!$A:$A, A134, Cost!$B:$B, E134)</f>
        <v>375</v>
      </c>
      <c r="K134" s="2">
        <f t="shared" si="5"/>
        <v>-2.1798365122615803E-2</v>
      </c>
    </row>
    <row r="135" spans="1:11" x14ac:dyDescent="0.35">
      <c r="A135" t="s">
        <v>33</v>
      </c>
      <c r="B135" t="s">
        <v>34</v>
      </c>
      <c r="C135" t="s">
        <v>18</v>
      </c>
      <c r="D135" t="s">
        <v>16</v>
      </c>
      <c r="E135" t="s">
        <v>27</v>
      </c>
      <c r="F135">
        <v>5621</v>
      </c>
      <c r="G135">
        <v>5085</v>
      </c>
      <c r="H135">
        <v>371</v>
      </c>
      <c r="I135">
        <f t="shared" si="4"/>
        <v>1886535</v>
      </c>
      <c r="J135">
        <f>SUMIFS(Cost!$I:$I, Cost!$A:$A, A135, Cost!$B:$B, E135)</f>
        <v>375</v>
      </c>
      <c r="K135" s="2">
        <f t="shared" si="5"/>
        <v>-1.078167115902965E-2</v>
      </c>
    </row>
    <row r="136" spans="1:11" x14ac:dyDescent="0.35">
      <c r="A136" t="s">
        <v>33</v>
      </c>
      <c r="B136" t="s">
        <v>34</v>
      </c>
      <c r="C136" t="s">
        <v>19</v>
      </c>
      <c r="D136" t="s">
        <v>20</v>
      </c>
      <c r="E136" t="s">
        <v>27</v>
      </c>
      <c r="F136">
        <v>6051</v>
      </c>
      <c r="G136">
        <v>5511</v>
      </c>
      <c r="H136">
        <v>488</v>
      </c>
      <c r="I136">
        <f t="shared" si="4"/>
        <v>2689368</v>
      </c>
      <c r="J136">
        <f>SUMIFS(Cost!$I:$I, Cost!$A:$A, A136, Cost!$B:$B, E136)</f>
        <v>375</v>
      </c>
      <c r="K136" s="2">
        <f t="shared" si="5"/>
        <v>0.23155737704918034</v>
      </c>
    </row>
    <row r="137" spans="1:11" x14ac:dyDescent="0.35">
      <c r="A137" t="s">
        <v>33</v>
      </c>
      <c r="B137" t="s">
        <v>34</v>
      </c>
      <c r="C137" t="s">
        <v>21</v>
      </c>
      <c r="D137" t="s">
        <v>20</v>
      </c>
      <c r="E137" t="s">
        <v>27</v>
      </c>
      <c r="F137">
        <v>6175</v>
      </c>
      <c r="G137">
        <v>5792</v>
      </c>
      <c r="H137">
        <v>408</v>
      </c>
      <c r="I137">
        <f t="shared" si="4"/>
        <v>2363136</v>
      </c>
      <c r="J137">
        <f>SUMIFS(Cost!$I:$I, Cost!$A:$A, A137, Cost!$B:$B, E137)</f>
        <v>375</v>
      </c>
      <c r="K137" s="2">
        <f t="shared" si="5"/>
        <v>8.0882352941176475E-2</v>
      </c>
    </row>
    <row r="138" spans="1:11" x14ac:dyDescent="0.35">
      <c r="A138" t="s">
        <v>33</v>
      </c>
      <c r="B138" t="s">
        <v>34</v>
      </c>
      <c r="C138" t="s">
        <v>22</v>
      </c>
      <c r="D138" t="s">
        <v>20</v>
      </c>
      <c r="E138" t="s">
        <v>27</v>
      </c>
      <c r="F138">
        <v>6246</v>
      </c>
      <c r="G138">
        <v>6030</v>
      </c>
      <c r="H138">
        <v>420</v>
      </c>
      <c r="I138">
        <f t="shared" si="4"/>
        <v>2532600</v>
      </c>
      <c r="J138">
        <f>SUMIFS(Cost!$I:$I, Cost!$A:$A, A138, Cost!$B:$B, E138)</f>
        <v>375</v>
      </c>
      <c r="K138" s="2">
        <f t="shared" si="5"/>
        <v>0.10714285714285714</v>
      </c>
    </row>
    <row r="139" spans="1:11" x14ac:dyDescent="0.35">
      <c r="A139" t="s">
        <v>33</v>
      </c>
      <c r="B139" t="s">
        <v>34</v>
      </c>
      <c r="C139" t="s">
        <v>23</v>
      </c>
      <c r="D139" t="s">
        <v>24</v>
      </c>
      <c r="E139" t="s">
        <v>27</v>
      </c>
      <c r="F139">
        <v>5796</v>
      </c>
      <c r="G139">
        <v>5331</v>
      </c>
      <c r="H139">
        <v>431</v>
      </c>
      <c r="I139">
        <f t="shared" si="4"/>
        <v>2297661</v>
      </c>
      <c r="J139">
        <f>SUMIFS(Cost!$I:$I, Cost!$A:$A, A139, Cost!$B:$B, E139)</f>
        <v>375</v>
      </c>
      <c r="K139" s="2">
        <f t="shared" si="5"/>
        <v>0.12993039443155452</v>
      </c>
    </row>
    <row r="140" spans="1:11" x14ac:dyDescent="0.35">
      <c r="A140" t="s">
        <v>33</v>
      </c>
      <c r="B140" t="s">
        <v>34</v>
      </c>
      <c r="C140" t="s">
        <v>25</v>
      </c>
      <c r="D140" t="s">
        <v>24</v>
      </c>
      <c r="E140" t="s">
        <v>27</v>
      </c>
      <c r="F140">
        <v>5780</v>
      </c>
      <c r="G140">
        <v>5790</v>
      </c>
      <c r="H140">
        <v>344</v>
      </c>
      <c r="I140">
        <f t="shared" si="4"/>
        <v>1991760</v>
      </c>
      <c r="J140">
        <f>SUMIFS(Cost!$I:$I, Cost!$A:$A, A140, Cost!$B:$B, E140)</f>
        <v>375</v>
      </c>
      <c r="K140" s="2">
        <f t="shared" si="5"/>
        <v>-9.0116279069767435E-2</v>
      </c>
    </row>
    <row r="141" spans="1:11" x14ac:dyDescent="0.35">
      <c r="A141" t="s">
        <v>33</v>
      </c>
      <c r="B141" t="s">
        <v>34</v>
      </c>
      <c r="C141" t="s">
        <v>26</v>
      </c>
      <c r="D141" t="s">
        <v>24</v>
      </c>
      <c r="E141" t="s">
        <v>27</v>
      </c>
      <c r="F141">
        <v>5970</v>
      </c>
      <c r="G141">
        <v>5540</v>
      </c>
      <c r="H141">
        <v>517</v>
      </c>
      <c r="I141">
        <f t="shared" si="4"/>
        <v>2864180</v>
      </c>
      <c r="J141">
        <f>SUMIFS(Cost!$I:$I, Cost!$A:$A, A141, Cost!$B:$B, E141)</f>
        <v>375</v>
      </c>
      <c r="K141" s="2">
        <f t="shared" si="5"/>
        <v>0.27466150870406192</v>
      </c>
    </row>
    <row r="142" spans="1:11" x14ac:dyDescent="0.35">
      <c r="A142" t="s">
        <v>33</v>
      </c>
      <c r="B142" t="s">
        <v>34</v>
      </c>
      <c r="C142" t="s">
        <v>10</v>
      </c>
      <c r="D142" t="s">
        <v>11</v>
      </c>
      <c r="E142" t="s">
        <v>28</v>
      </c>
      <c r="F142">
        <v>5700</v>
      </c>
      <c r="G142">
        <v>5139</v>
      </c>
      <c r="H142">
        <v>439</v>
      </c>
      <c r="I142">
        <f t="shared" si="4"/>
        <v>2256021</v>
      </c>
      <c r="J142">
        <f>SUMIFS(Cost!$I:$I, Cost!$A:$A, A142, Cost!$B:$B, E142)</f>
        <v>387</v>
      </c>
      <c r="K142" s="2">
        <f t="shared" si="5"/>
        <v>0.11845102505694761</v>
      </c>
    </row>
    <row r="143" spans="1:11" x14ac:dyDescent="0.35">
      <c r="A143" t="s">
        <v>33</v>
      </c>
      <c r="B143" t="s">
        <v>34</v>
      </c>
      <c r="C143" t="s">
        <v>13</v>
      </c>
      <c r="D143" t="s">
        <v>11</v>
      </c>
      <c r="E143" t="s">
        <v>28</v>
      </c>
      <c r="F143">
        <v>5138</v>
      </c>
      <c r="G143">
        <v>4725</v>
      </c>
      <c r="H143">
        <v>526</v>
      </c>
      <c r="I143">
        <f t="shared" si="4"/>
        <v>2485350</v>
      </c>
      <c r="J143">
        <f>SUMIFS(Cost!$I:$I, Cost!$A:$A, A143, Cost!$B:$B, E143)</f>
        <v>387</v>
      </c>
      <c r="K143" s="2">
        <f t="shared" si="5"/>
        <v>0.26425855513307983</v>
      </c>
    </row>
    <row r="144" spans="1:11" x14ac:dyDescent="0.35">
      <c r="A144" t="s">
        <v>33</v>
      </c>
      <c r="B144" t="s">
        <v>34</v>
      </c>
      <c r="C144" t="s">
        <v>14</v>
      </c>
      <c r="D144" t="s">
        <v>11</v>
      </c>
      <c r="E144" t="s">
        <v>28</v>
      </c>
      <c r="F144">
        <v>5911</v>
      </c>
      <c r="G144">
        <v>5384</v>
      </c>
      <c r="H144">
        <v>347</v>
      </c>
      <c r="I144">
        <f t="shared" si="4"/>
        <v>1868248</v>
      </c>
      <c r="J144">
        <f>SUMIFS(Cost!$I:$I, Cost!$A:$A, A144, Cost!$B:$B, E144)</f>
        <v>387</v>
      </c>
      <c r="K144" s="2">
        <f t="shared" si="5"/>
        <v>-0.11527377521613832</v>
      </c>
    </row>
    <row r="145" spans="1:11" x14ac:dyDescent="0.35">
      <c r="A145" t="s">
        <v>33</v>
      </c>
      <c r="B145" t="s">
        <v>34</v>
      </c>
      <c r="C145" t="s">
        <v>15</v>
      </c>
      <c r="D145" t="s">
        <v>16</v>
      </c>
      <c r="E145" t="s">
        <v>28</v>
      </c>
      <c r="F145">
        <v>6123</v>
      </c>
      <c r="G145">
        <v>5306</v>
      </c>
      <c r="H145">
        <v>389</v>
      </c>
      <c r="I145">
        <f t="shared" si="4"/>
        <v>2064034</v>
      </c>
      <c r="J145">
        <f>SUMIFS(Cost!$I:$I, Cost!$A:$A, A145, Cost!$B:$B, E145)</f>
        <v>387</v>
      </c>
      <c r="K145" s="2">
        <f t="shared" si="5"/>
        <v>5.1413881748071976E-3</v>
      </c>
    </row>
    <row r="146" spans="1:11" x14ac:dyDescent="0.35">
      <c r="A146" t="s">
        <v>33</v>
      </c>
      <c r="B146" t="s">
        <v>34</v>
      </c>
      <c r="C146" t="s">
        <v>17</v>
      </c>
      <c r="D146" t="s">
        <v>16</v>
      </c>
      <c r="E146" t="s">
        <v>28</v>
      </c>
      <c r="F146">
        <v>5786</v>
      </c>
      <c r="G146">
        <v>5183</v>
      </c>
      <c r="H146">
        <v>536</v>
      </c>
      <c r="I146">
        <f t="shared" si="4"/>
        <v>2778088</v>
      </c>
      <c r="J146">
        <f>SUMIFS(Cost!$I:$I, Cost!$A:$A, A146, Cost!$B:$B, E146)</f>
        <v>387</v>
      </c>
      <c r="K146" s="2">
        <f t="shared" si="5"/>
        <v>0.27798507462686567</v>
      </c>
    </row>
    <row r="147" spans="1:11" x14ac:dyDescent="0.35">
      <c r="A147" t="s">
        <v>35</v>
      </c>
      <c r="B147" t="s">
        <v>34</v>
      </c>
      <c r="C147" t="s">
        <v>10</v>
      </c>
      <c r="D147" t="s">
        <v>11</v>
      </c>
      <c r="E147" t="s">
        <v>12</v>
      </c>
      <c r="F147">
        <v>6307</v>
      </c>
      <c r="G147">
        <v>5960</v>
      </c>
      <c r="H147">
        <v>530</v>
      </c>
      <c r="I147">
        <f t="shared" si="4"/>
        <v>3158800</v>
      </c>
      <c r="J147">
        <f>SUMIFS(Cost!$I:$I, Cost!$A:$A, A147, Cost!$B:$B, E147)</f>
        <v>429</v>
      </c>
      <c r="K147" s="2">
        <f t="shared" si="5"/>
        <v>0.19056603773584907</v>
      </c>
    </row>
    <row r="148" spans="1:11" x14ac:dyDescent="0.35">
      <c r="A148" t="s">
        <v>35</v>
      </c>
      <c r="B148" t="s">
        <v>34</v>
      </c>
      <c r="C148" t="s">
        <v>13</v>
      </c>
      <c r="D148" t="s">
        <v>11</v>
      </c>
      <c r="E148" t="s">
        <v>12</v>
      </c>
      <c r="F148">
        <v>5155</v>
      </c>
      <c r="G148">
        <v>5113</v>
      </c>
      <c r="H148">
        <v>522</v>
      </c>
      <c r="I148">
        <f t="shared" si="4"/>
        <v>2668986</v>
      </c>
      <c r="J148">
        <f>SUMIFS(Cost!$I:$I, Cost!$A:$A, A148, Cost!$B:$B, E148)</f>
        <v>429</v>
      </c>
      <c r="K148" s="2">
        <f t="shared" si="5"/>
        <v>0.17816091954022989</v>
      </c>
    </row>
    <row r="149" spans="1:11" x14ac:dyDescent="0.35">
      <c r="A149" t="s">
        <v>35</v>
      </c>
      <c r="B149" t="s">
        <v>34</v>
      </c>
      <c r="C149" t="s">
        <v>14</v>
      </c>
      <c r="D149" t="s">
        <v>11</v>
      </c>
      <c r="E149" t="s">
        <v>12</v>
      </c>
      <c r="F149">
        <v>5813</v>
      </c>
      <c r="G149">
        <v>5281</v>
      </c>
      <c r="H149">
        <v>531</v>
      </c>
      <c r="I149">
        <f t="shared" si="4"/>
        <v>2804211</v>
      </c>
      <c r="J149">
        <f>SUMIFS(Cost!$I:$I, Cost!$A:$A, A149, Cost!$B:$B, E149)</f>
        <v>429</v>
      </c>
      <c r="K149" s="2">
        <f t="shared" si="5"/>
        <v>0.19209039548022599</v>
      </c>
    </row>
    <row r="150" spans="1:11" x14ac:dyDescent="0.35">
      <c r="A150" t="s">
        <v>35</v>
      </c>
      <c r="B150" t="s">
        <v>34</v>
      </c>
      <c r="C150" t="s">
        <v>15</v>
      </c>
      <c r="D150" t="s">
        <v>16</v>
      </c>
      <c r="E150" t="s">
        <v>12</v>
      </c>
      <c r="F150">
        <v>5010</v>
      </c>
      <c r="G150">
        <v>4510</v>
      </c>
      <c r="H150">
        <v>531</v>
      </c>
      <c r="I150">
        <f t="shared" si="4"/>
        <v>2394810</v>
      </c>
      <c r="J150">
        <f>SUMIFS(Cost!$I:$I, Cost!$A:$A, A150, Cost!$B:$B, E150)</f>
        <v>429</v>
      </c>
      <c r="K150" s="2">
        <f t="shared" si="5"/>
        <v>0.19209039548022599</v>
      </c>
    </row>
    <row r="151" spans="1:11" x14ac:dyDescent="0.35">
      <c r="A151" t="s">
        <v>35</v>
      </c>
      <c r="B151" t="s">
        <v>34</v>
      </c>
      <c r="C151" t="s">
        <v>17</v>
      </c>
      <c r="D151" t="s">
        <v>16</v>
      </c>
      <c r="E151" t="s">
        <v>12</v>
      </c>
      <c r="F151">
        <v>5476</v>
      </c>
      <c r="G151">
        <v>5131</v>
      </c>
      <c r="H151">
        <v>390</v>
      </c>
      <c r="I151">
        <f t="shared" si="4"/>
        <v>2001090</v>
      </c>
      <c r="J151">
        <f>SUMIFS(Cost!$I:$I, Cost!$A:$A, A151, Cost!$B:$B, E151)</f>
        <v>429</v>
      </c>
      <c r="K151" s="2">
        <f t="shared" si="5"/>
        <v>-0.1</v>
      </c>
    </row>
    <row r="152" spans="1:11" x14ac:dyDescent="0.35">
      <c r="A152" t="s">
        <v>35</v>
      </c>
      <c r="B152" t="s">
        <v>34</v>
      </c>
      <c r="C152" t="s">
        <v>18</v>
      </c>
      <c r="D152" t="s">
        <v>16</v>
      </c>
      <c r="E152" t="s">
        <v>12</v>
      </c>
      <c r="F152">
        <v>5861</v>
      </c>
      <c r="G152">
        <v>5500</v>
      </c>
      <c r="H152">
        <v>360</v>
      </c>
      <c r="I152">
        <f t="shared" si="4"/>
        <v>1980000</v>
      </c>
      <c r="J152">
        <f>SUMIFS(Cost!$I:$I, Cost!$A:$A, A152, Cost!$B:$B, E152)</f>
        <v>429</v>
      </c>
      <c r="K152" s="2">
        <f t="shared" si="5"/>
        <v>-0.19166666666666668</v>
      </c>
    </row>
    <row r="153" spans="1:11" x14ac:dyDescent="0.35">
      <c r="A153" t="s">
        <v>35</v>
      </c>
      <c r="B153" t="s">
        <v>34</v>
      </c>
      <c r="C153" t="s">
        <v>19</v>
      </c>
      <c r="D153" t="s">
        <v>20</v>
      </c>
      <c r="E153" t="s">
        <v>12</v>
      </c>
      <c r="F153">
        <v>5944</v>
      </c>
      <c r="G153">
        <v>5468</v>
      </c>
      <c r="H153">
        <v>419</v>
      </c>
      <c r="I153">
        <f t="shared" si="4"/>
        <v>2291092</v>
      </c>
      <c r="J153">
        <f>SUMIFS(Cost!$I:$I, Cost!$A:$A, A153, Cost!$B:$B, E153)</f>
        <v>429</v>
      </c>
      <c r="K153" s="2">
        <f t="shared" si="5"/>
        <v>-2.386634844868735E-2</v>
      </c>
    </row>
    <row r="154" spans="1:11" x14ac:dyDescent="0.35">
      <c r="A154" t="s">
        <v>35</v>
      </c>
      <c r="B154" t="s">
        <v>34</v>
      </c>
      <c r="C154" t="s">
        <v>21</v>
      </c>
      <c r="D154" t="s">
        <v>20</v>
      </c>
      <c r="E154" t="s">
        <v>12</v>
      </c>
      <c r="F154">
        <v>5214</v>
      </c>
      <c r="G154">
        <v>4610</v>
      </c>
      <c r="H154">
        <v>448</v>
      </c>
      <c r="I154">
        <f t="shared" si="4"/>
        <v>2065280</v>
      </c>
      <c r="J154">
        <f>SUMIFS(Cost!$I:$I, Cost!$A:$A, A154, Cost!$B:$B, E154)</f>
        <v>429</v>
      </c>
      <c r="K154" s="2">
        <f t="shared" si="5"/>
        <v>4.2410714285714288E-2</v>
      </c>
    </row>
    <row r="155" spans="1:11" x14ac:dyDescent="0.35">
      <c r="A155" t="s">
        <v>35</v>
      </c>
      <c r="B155" t="s">
        <v>34</v>
      </c>
      <c r="C155" t="s">
        <v>22</v>
      </c>
      <c r="D155" t="s">
        <v>20</v>
      </c>
      <c r="E155" t="s">
        <v>12</v>
      </c>
      <c r="F155">
        <v>6865</v>
      </c>
      <c r="G155">
        <v>6205</v>
      </c>
      <c r="H155">
        <v>411</v>
      </c>
      <c r="I155">
        <f t="shared" si="4"/>
        <v>2550255</v>
      </c>
      <c r="J155">
        <f>SUMIFS(Cost!$I:$I, Cost!$A:$A, A155, Cost!$B:$B, E155)</f>
        <v>429</v>
      </c>
      <c r="K155" s="2">
        <f t="shared" si="5"/>
        <v>-4.3795620437956206E-2</v>
      </c>
    </row>
    <row r="156" spans="1:11" x14ac:dyDescent="0.35">
      <c r="A156" t="s">
        <v>35</v>
      </c>
      <c r="B156" t="s">
        <v>34</v>
      </c>
      <c r="C156" t="s">
        <v>23</v>
      </c>
      <c r="D156" t="s">
        <v>24</v>
      </c>
      <c r="E156" t="s">
        <v>12</v>
      </c>
      <c r="F156">
        <v>5779</v>
      </c>
      <c r="G156">
        <v>5482</v>
      </c>
      <c r="H156">
        <v>565</v>
      </c>
      <c r="I156">
        <f t="shared" si="4"/>
        <v>3097330</v>
      </c>
      <c r="J156">
        <f>SUMIFS(Cost!$I:$I, Cost!$A:$A, A156, Cost!$B:$B, E156)</f>
        <v>429</v>
      </c>
      <c r="K156" s="2">
        <f t="shared" si="5"/>
        <v>0.24070796460176991</v>
      </c>
    </row>
    <row r="157" spans="1:11" x14ac:dyDescent="0.35">
      <c r="A157" t="s">
        <v>35</v>
      </c>
      <c r="B157" t="s">
        <v>34</v>
      </c>
      <c r="C157" t="s">
        <v>25</v>
      </c>
      <c r="D157" t="s">
        <v>24</v>
      </c>
      <c r="E157" t="s">
        <v>12</v>
      </c>
      <c r="F157">
        <v>5485</v>
      </c>
      <c r="G157">
        <v>4941</v>
      </c>
      <c r="H157">
        <v>565</v>
      </c>
      <c r="I157">
        <f t="shared" si="4"/>
        <v>2791665</v>
      </c>
      <c r="J157">
        <f>SUMIFS(Cost!$I:$I, Cost!$A:$A, A157, Cost!$B:$B, E157)</f>
        <v>429</v>
      </c>
      <c r="K157" s="2">
        <f t="shared" si="5"/>
        <v>0.24070796460176991</v>
      </c>
    </row>
    <row r="158" spans="1:11" x14ac:dyDescent="0.35">
      <c r="A158" t="s">
        <v>35</v>
      </c>
      <c r="B158" t="s">
        <v>34</v>
      </c>
      <c r="C158" t="s">
        <v>26</v>
      </c>
      <c r="D158" t="s">
        <v>24</v>
      </c>
      <c r="E158" t="s">
        <v>12</v>
      </c>
      <c r="F158">
        <v>6173</v>
      </c>
      <c r="G158">
        <v>5832</v>
      </c>
      <c r="H158">
        <v>408</v>
      </c>
      <c r="I158">
        <f t="shared" si="4"/>
        <v>2379456</v>
      </c>
      <c r="J158">
        <f>SUMIFS(Cost!$I:$I, Cost!$A:$A, A158, Cost!$B:$B, E158)</f>
        <v>429</v>
      </c>
      <c r="K158" s="2">
        <f t="shared" si="5"/>
        <v>-5.1470588235294115E-2</v>
      </c>
    </row>
    <row r="159" spans="1:11" x14ac:dyDescent="0.35">
      <c r="A159" t="s">
        <v>35</v>
      </c>
      <c r="B159" t="s">
        <v>34</v>
      </c>
      <c r="C159" t="s">
        <v>10</v>
      </c>
      <c r="D159" t="s">
        <v>11</v>
      </c>
      <c r="E159" t="s">
        <v>27</v>
      </c>
      <c r="F159">
        <v>5238</v>
      </c>
      <c r="G159">
        <v>4813</v>
      </c>
      <c r="H159">
        <v>344</v>
      </c>
      <c r="I159">
        <f t="shared" si="4"/>
        <v>1655672</v>
      </c>
      <c r="J159">
        <f>SUMIFS(Cost!$I:$I, Cost!$A:$A, A159, Cost!$B:$B, E159)</f>
        <v>492</v>
      </c>
      <c r="K159" s="2">
        <f t="shared" si="5"/>
        <v>-0.43023255813953487</v>
      </c>
    </row>
    <row r="160" spans="1:11" x14ac:dyDescent="0.35">
      <c r="A160" t="s">
        <v>35</v>
      </c>
      <c r="B160" t="s">
        <v>34</v>
      </c>
      <c r="C160" t="s">
        <v>13</v>
      </c>
      <c r="D160" t="s">
        <v>11</v>
      </c>
      <c r="E160" t="s">
        <v>27</v>
      </c>
      <c r="F160">
        <v>5968</v>
      </c>
      <c r="G160">
        <v>5815</v>
      </c>
      <c r="H160">
        <v>448</v>
      </c>
      <c r="I160">
        <f t="shared" si="4"/>
        <v>2605120</v>
      </c>
      <c r="J160">
        <f>SUMIFS(Cost!$I:$I, Cost!$A:$A, A160, Cost!$B:$B, E160)</f>
        <v>492</v>
      </c>
      <c r="K160" s="2">
        <f t="shared" si="5"/>
        <v>-9.8214285714285712E-2</v>
      </c>
    </row>
    <row r="161" spans="1:11" x14ac:dyDescent="0.35">
      <c r="A161" t="s">
        <v>35</v>
      </c>
      <c r="B161" t="s">
        <v>34</v>
      </c>
      <c r="C161" t="s">
        <v>14</v>
      </c>
      <c r="D161" t="s">
        <v>11</v>
      </c>
      <c r="E161" t="s">
        <v>27</v>
      </c>
      <c r="F161">
        <v>6585</v>
      </c>
      <c r="G161">
        <v>6096</v>
      </c>
      <c r="H161">
        <v>518</v>
      </c>
      <c r="I161">
        <f t="shared" si="4"/>
        <v>3157728</v>
      </c>
      <c r="J161">
        <f>SUMIFS(Cost!$I:$I, Cost!$A:$A, A161, Cost!$B:$B, E161)</f>
        <v>492</v>
      </c>
      <c r="K161" s="2">
        <f t="shared" si="5"/>
        <v>5.019305019305019E-2</v>
      </c>
    </row>
    <row r="162" spans="1:11" x14ac:dyDescent="0.35">
      <c r="A162" t="s">
        <v>35</v>
      </c>
      <c r="B162" t="s">
        <v>34</v>
      </c>
      <c r="C162" t="s">
        <v>15</v>
      </c>
      <c r="D162" t="s">
        <v>16</v>
      </c>
      <c r="E162" t="s">
        <v>27</v>
      </c>
      <c r="F162">
        <v>6625</v>
      </c>
      <c r="G162">
        <v>6442</v>
      </c>
      <c r="H162">
        <v>351</v>
      </c>
      <c r="I162">
        <f t="shared" si="4"/>
        <v>2261142</v>
      </c>
      <c r="J162">
        <f>SUMIFS(Cost!$I:$I, Cost!$A:$A, A162, Cost!$B:$B, E162)</f>
        <v>492</v>
      </c>
      <c r="K162" s="2">
        <f t="shared" si="5"/>
        <v>-0.40170940170940173</v>
      </c>
    </row>
    <row r="163" spans="1:11" x14ac:dyDescent="0.35">
      <c r="A163" t="s">
        <v>35</v>
      </c>
      <c r="B163" t="s">
        <v>34</v>
      </c>
      <c r="C163" t="s">
        <v>17</v>
      </c>
      <c r="D163" t="s">
        <v>16</v>
      </c>
      <c r="E163" t="s">
        <v>27</v>
      </c>
      <c r="F163">
        <v>6134</v>
      </c>
      <c r="G163">
        <v>5373</v>
      </c>
      <c r="H163">
        <v>485</v>
      </c>
      <c r="I163">
        <f t="shared" si="4"/>
        <v>2605905</v>
      </c>
      <c r="J163">
        <f>SUMIFS(Cost!$I:$I, Cost!$A:$A, A163, Cost!$B:$B, E163)</f>
        <v>492</v>
      </c>
      <c r="K163" s="2">
        <f t="shared" si="5"/>
        <v>-1.443298969072165E-2</v>
      </c>
    </row>
    <row r="164" spans="1:11" x14ac:dyDescent="0.35">
      <c r="A164" t="s">
        <v>35</v>
      </c>
      <c r="B164" t="s">
        <v>34</v>
      </c>
      <c r="C164" t="s">
        <v>18</v>
      </c>
      <c r="D164" t="s">
        <v>16</v>
      </c>
      <c r="E164" t="s">
        <v>27</v>
      </c>
      <c r="F164">
        <v>5545</v>
      </c>
      <c r="G164">
        <v>5144</v>
      </c>
      <c r="H164">
        <v>488</v>
      </c>
      <c r="I164">
        <f t="shared" si="4"/>
        <v>2510272</v>
      </c>
      <c r="J164">
        <f>SUMIFS(Cost!$I:$I, Cost!$A:$A, A164, Cost!$B:$B, E164)</f>
        <v>492</v>
      </c>
      <c r="K164" s="2">
        <f t="shared" si="5"/>
        <v>-8.1967213114754103E-3</v>
      </c>
    </row>
    <row r="165" spans="1:11" x14ac:dyDescent="0.35">
      <c r="A165" t="s">
        <v>35</v>
      </c>
      <c r="B165" t="s">
        <v>34</v>
      </c>
      <c r="C165" t="s">
        <v>19</v>
      </c>
      <c r="D165" t="s">
        <v>20</v>
      </c>
      <c r="E165" t="s">
        <v>27</v>
      </c>
      <c r="F165">
        <v>6525</v>
      </c>
      <c r="G165">
        <v>6070</v>
      </c>
      <c r="H165">
        <v>452</v>
      </c>
      <c r="I165">
        <f t="shared" si="4"/>
        <v>2743640</v>
      </c>
      <c r="J165">
        <f>SUMIFS(Cost!$I:$I, Cost!$A:$A, A165, Cost!$B:$B, E165)</f>
        <v>492</v>
      </c>
      <c r="K165" s="2">
        <f t="shared" si="5"/>
        <v>-8.8495575221238937E-2</v>
      </c>
    </row>
    <row r="166" spans="1:11" x14ac:dyDescent="0.35">
      <c r="A166" t="s">
        <v>35</v>
      </c>
      <c r="B166" t="s">
        <v>34</v>
      </c>
      <c r="C166" t="s">
        <v>21</v>
      </c>
      <c r="D166" t="s">
        <v>20</v>
      </c>
      <c r="E166" t="s">
        <v>27</v>
      </c>
      <c r="F166">
        <v>5581</v>
      </c>
      <c r="G166">
        <v>4883</v>
      </c>
      <c r="H166">
        <v>492</v>
      </c>
      <c r="I166">
        <f t="shared" si="4"/>
        <v>2402436</v>
      </c>
      <c r="J166">
        <f>SUMIFS(Cost!$I:$I, Cost!$A:$A, A166, Cost!$B:$B, E166)</f>
        <v>492</v>
      </c>
      <c r="K166" s="2">
        <f t="shared" si="5"/>
        <v>0</v>
      </c>
    </row>
    <row r="167" spans="1:11" x14ac:dyDescent="0.35">
      <c r="A167" t="s">
        <v>35</v>
      </c>
      <c r="B167" t="s">
        <v>34</v>
      </c>
      <c r="C167" t="s">
        <v>22</v>
      </c>
      <c r="D167" t="s">
        <v>20</v>
      </c>
      <c r="E167" t="s">
        <v>27</v>
      </c>
      <c r="F167">
        <v>6832</v>
      </c>
      <c r="G167">
        <v>6484</v>
      </c>
      <c r="H167">
        <v>448</v>
      </c>
      <c r="I167">
        <f t="shared" si="4"/>
        <v>2904832</v>
      </c>
      <c r="J167">
        <f>SUMIFS(Cost!$I:$I, Cost!$A:$A, A167, Cost!$B:$B, E167)</f>
        <v>492</v>
      </c>
      <c r="K167" s="2">
        <f t="shared" si="5"/>
        <v>-9.8214285714285712E-2</v>
      </c>
    </row>
    <row r="168" spans="1:11" x14ac:dyDescent="0.35">
      <c r="A168" t="s">
        <v>35</v>
      </c>
      <c r="B168" t="s">
        <v>34</v>
      </c>
      <c r="C168" t="s">
        <v>23</v>
      </c>
      <c r="D168" t="s">
        <v>24</v>
      </c>
      <c r="E168" t="s">
        <v>27</v>
      </c>
      <c r="F168">
        <v>6440</v>
      </c>
      <c r="G168">
        <v>5796</v>
      </c>
      <c r="H168">
        <v>521</v>
      </c>
      <c r="I168">
        <f t="shared" si="4"/>
        <v>3019716</v>
      </c>
      <c r="J168">
        <f>SUMIFS(Cost!$I:$I, Cost!$A:$A, A168, Cost!$B:$B, E168)</f>
        <v>492</v>
      </c>
      <c r="K168" s="2">
        <f t="shared" si="5"/>
        <v>5.5662188099808059E-2</v>
      </c>
    </row>
    <row r="169" spans="1:11" x14ac:dyDescent="0.35">
      <c r="A169" t="s">
        <v>35</v>
      </c>
      <c r="B169" t="s">
        <v>34</v>
      </c>
      <c r="C169" t="s">
        <v>25</v>
      </c>
      <c r="D169" t="s">
        <v>24</v>
      </c>
      <c r="E169" t="s">
        <v>27</v>
      </c>
      <c r="F169">
        <v>5180</v>
      </c>
      <c r="G169">
        <v>4619</v>
      </c>
      <c r="H169">
        <v>439</v>
      </c>
      <c r="I169">
        <f t="shared" si="4"/>
        <v>2027741</v>
      </c>
      <c r="J169">
        <f>SUMIFS(Cost!$I:$I, Cost!$A:$A, A169, Cost!$B:$B, E169)</f>
        <v>492</v>
      </c>
      <c r="K169" s="2">
        <f t="shared" si="5"/>
        <v>-0.12072892938496584</v>
      </c>
    </row>
    <row r="170" spans="1:11" x14ac:dyDescent="0.35">
      <c r="A170" t="s">
        <v>35</v>
      </c>
      <c r="B170" t="s">
        <v>34</v>
      </c>
      <c r="C170" t="s">
        <v>26</v>
      </c>
      <c r="D170" t="s">
        <v>24</v>
      </c>
      <c r="E170" t="s">
        <v>27</v>
      </c>
      <c r="F170">
        <v>5918</v>
      </c>
      <c r="G170">
        <v>5706</v>
      </c>
      <c r="H170">
        <v>453</v>
      </c>
      <c r="I170">
        <f t="shared" si="4"/>
        <v>2584818</v>
      </c>
      <c r="J170">
        <f>SUMIFS(Cost!$I:$I, Cost!$A:$A, A170, Cost!$B:$B, E170)</f>
        <v>492</v>
      </c>
      <c r="K170" s="2">
        <f t="shared" si="5"/>
        <v>-8.6092715231788075E-2</v>
      </c>
    </row>
    <row r="171" spans="1:11" x14ac:dyDescent="0.35">
      <c r="A171" t="s">
        <v>35</v>
      </c>
      <c r="B171" t="s">
        <v>34</v>
      </c>
      <c r="C171" t="s">
        <v>10</v>
      </c>
      <c r="D171" t="s">
        <v>11</v>
      </c>
      <c r="E171" t="s">
        <v>28</v>
      </c>
      <c r="F171">
        <v>6677</v>
      </c>
      <c r="G171">
        <v>6193</v>
      </c>
      <c r="H171">
        <v>556</v>
      </c>
      <c r="I171">
        <f t="shared" si="4"/>
        <v>3443308</v>
      </c>
      <c r="J171">
        <f>SUMIFS(Cost!$I:$I, Cost!$A:$A, A171, Cost!$B:$B, E171)</f>
        <v>505</v>
      </c>
      <c r="K171" s="2">
        <f t="shared" si="5"/>
        <v>9.172661870503597E-2</v>
      </c>
    </row>
    <row r="172" spans="1:11" x14ac:dyDescent="0.35">
      <c r="A172" t="s">
        <v>35</v>
      </c>
      <c r="B172" t="s">
        <v>34</v>
      </c>
      <c r="C172" t="s">
        <v>13</v>
      </c>
      <c r="D172" t="s">
        <v>11</v>
      </c>
      <c r="E172" t="s">
        <v>28</v>
      </c>
      <c r="F172">
        <v>5816</v>
      </c>
      <c r="G172">
        <v>5654</v>
      </c>
      <c r="H172">
        <v>378</v>
      </c>
      <c r="I172">
        <f t="shared" si="4"/>
        <v>2137212</v>
      </c>
      <c r="J172">
        <f>SUMIFS(Cost!$I:$I, Cost!$A:$A, A172, Cost!$B:$B, E172)</f>
        <v>505</v>
      </c>
      <c r="K172" s="2">
        <f t="shared" si="5"/>
        <v>-0.33597883597883599</v>
      </c>
    </row>
    <row r="173" spans="1:11" x14ac:dyDescent="0.35">
      <c r="A173" t="s">
        <v>35</v>
      </c>
      <c r="B173" t="s">
        <v>34</v>
      </c>
      <c r="C173" t="s">
        <v>14</v>
      </c>
      <c r="D173" t="s">
        <v>11</v>
      </c>
      <c r="E173" t="s">
        <v>28</v>
      </c>
      <c r="F173">
        <v>5306</v>
      </c>
      <c r="G173">
        <v>4650</v>
      </c>
      <c r="H173">
        <v>441</v>
      </c>
      <c r="I173">
        <f t="shared" si="4"/>
        <v>2050650</v>
      </c>
      <c r="J173">
        <f>SUMIFS(Cost!$I:$I, Cost!$A:$A, A173, Cost!$B:$B, E173)</f>
        <v>505</v>
      </c>
      <c r="K173" s="2">
        <f t="shared" si="5"/>
        <v>-0.14512471655328799</v>
      </c>
    </row>
    <row r="174" spans="1:11" x14ac:dyDescent="0.35">
      <c r="A174" t="s">
        <v>35</v>
      </c>
      <c r="B174" t="s">
        <v>34</v>
      </c>
      <c r="C174" t="s">
        <v>15</v>
      </c>
      <c r="D174" t="s">
        <v>16</v>
      </c>
      <c r="E174" t="s">
        <v>28</v>
      </c>
      <c r="F174">
        <v>5889</v>
      </c>
      <c r="G174">
        <v>5356</v>
      </c>
      <c r="H174">
        <v>556</v>
      </c>
      <c r="I174">
        <f t="shared" si="4"/>
        <v>2977936</v>
      </c>
      <c r="J174">
        <f>SUMIFS(Cost!$I:$I, Cost!$A:$A, A174, Cost!$B:$B, E174)</f>
        <v>505</v>
      </c>
      <c r="K174" s="2">
        <f t="shared" si="5"/>
        <v>9.172661870503597E-2</v>
      </c>
    </row>
    <row r="175" spans="1:11" x14ac:dyDescent="0.35">
      <c r="A175" t="s">
        <v>35</v>
      </c>
      <c r="B175" t="s">
        <v>34</v>
      </c>
      <c r="C175" t="s">
        <v>17</v>
      </c>
      <c r="D175" t="s">
        <v>16</v>
      </c>
      <c r="E175" t="s">
        <v>28</v>
      </c>
      <c r="F175">
        <v>6145</v>
      </c>
      <c r="G175">
        <v>5699</v>
      </c>
      <c r="H175">
        <v>534</v>
      </c>
      <c r="I175">
        <f t="shared" si="4"/>
        <v>3043266</v>
      </c>
      <c r="J175">
        <f>SUMIFS(Cost!$I:$I, Cost!$A:$A, A175, Cost!$B:$B, E175)</f>
        <v>505</v>
      </c>
      <c r="K175" s="2">
        <f t="shared" si="5"/>
        <v>5.4307116104868915E-2</v>
      </c>
    </row>
    <row r="176" spans="1:11" x14ac:dyDescent="0.35">
      <c r="K17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workbookViewId="0">
      <selection activeCell="G7" sqref="G7"/>
    </sheetView>
  </sheetViews>
  <sheetFormatPr defaultRowHeight="14.5" x14ac:dyDescent="0.35"/>
  <cols>
    <col min="1" max="1" width="30.08984375" bestFit="1" customWidth="1"/>
    <col min="2" max="2" width="7.453125" bestFit="1" customWidth="1"/>
    <col min="3" max="3" width="28.1796875" hidden="1" customWidth="1"/>
    <col min="4" max="4" width="14.08984375" bestFit="1" customWidth="1"/>
    <col min="5" max="5" width="12" bestFit="1" customWidth="1"/>
    <col min="6" max="6" width="18.7265625" bestFit="1" customWidth="1"/>
    <col min="7" max="7" width="13.36328125" bestFit="1" customWidth="1"/>
    <col min="8" max="8" width="12.08984375" bestFit="1" customWidth="1"/>
  </cols>
  <sheetData>
    <row r="1" spans="1:12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60</v>
      </c>
      <c r="J1" t="s">
        <v>57</v>
      </c>
      <c r="K1" t="s">
        <v>58</v>
      </c>
      <c r="L1" t="s">
        <v>63</v>
      </c>
    </row>
    <row r="2" spans="1:12" x14ac:dyDescent="0.35">
      <c r="A2" t="s">
        <v>8</v>
      </c>
      <c r="B2" t="s">
        <v>12</v>
      </c>
      <c r="C2" t="str">
        <f t="shared" ref="C2:C19" si="0">CONCATENATE(A2,B2)</f>
        <v>Gear Assembly 1 (BS4)2019-20</v>
      </c>
      <c r="D2">
        <v>155</v>
      </c>
      <c r="E2">
        <v>48</v>
      </c>
      <c r="F2">
        <v>114</v>
      </c>
      <c r="G2">
        <v>46</v>
      </c>
      <c r="H2">
        <v>32</v>
      </c>
      <c r="I2">
        <f>SUM(D2:H2)</f>
        <v>395</v>
      </c>
      <c r="J2">
        <f>_xlfn.MINIFS(Data!$H$2:$H$175, Data!$A$2:$A$175, "Gear Assembly 1 (BS4)", Data!$E$2:$E$175, "2019-20")</f>
        <v>354</v>
      </c>
      <c r="K2">
        <f>J2-I2</f>
        <v>-41</v>
      </c>
      <c r="L2" t="e" cm="1">
        <f t="array" ref="L2">MAX((Data!H2:H175 - J2:J175) / Data!H2:H175)</f>
        <v>#VALUE!</v>
      </c>
    </row>
    <row r="3" spans="1:12" x14ac:dyDescent="0.35">
      <c r="A3" t="s">
        <v>29</v>
      </c>
      <c r="B3" t="s">
        <v>12</v>
      </c>
      <c r="C3" t="str">
        <f t="shared" si="0"/>
        <v>Gear Assembly 2 (BS4)2019-20</v>
      </c>
      <c r="D3">
        <v>143</v>
      </c>
      <c r="E3">
        <v>52</v>
      </c>
      <c r="F3">
        <v>81</v>
      </c>
      <c r="G3">
        <v>46</v>
      </c>
      <c r="H3">
        <v>27</v>
      </c>
      <c r="I3">
        <f t="shared" ref="I3:I19" si="1">SUM(D3:H3)</f>
        <v>349</v>
      </c>
      <c r="J3">
        <f>_xlfn.MINIFS(Data!$H$2:$H$175, Data!$A$2:$A$175, "Gear Assembly 2 (BS4)", Data!$E$2:$E$175, "2019-20")</f>
        <v>334</v>
      </c>
      <c r="K3">
        <f>J3-I3</f>
        <v>-15</v>
      </c>
      <c r="L3">
        <f>SUMIFS(Cost!$I:$I, Cost!$A:$A, A3, Cost!$B:$B, E3)</f>
        <v>0</v>
      </c>
    </row>
    <row r="4" spans="1:12" x14ac:dyDescent="0.35">
      <c r="A4" t="s">
        <v>30</v>
      </c>
      <c r="B4" t="s">
        <v>12</v>
      </c>
      <c r="C4" t="str">
        <f t="shared" si="0"/>
        <v>Gear Assembly 3 (BS4/6)2019-20</v>
      </c>
      <c r="D4">
        <v>200</v>
      </c>
      <c r="E4">
        <v>69</v>
      </c>
      <c r="F4">
        <v>119</v>
      </c>
      <c r="G4">
        <v>45</v>
      </c>
      <c r="H4">
        <v>32</v>
      </c>
      <c r="I4">
        <f t="shared" si="1"/>
        <v>465</v>
      </c>
      <c r="J4">
        <f>_xlfn.MINIFS(Data!$H$2:$H$175, Data!$A$2:$A$175, "Gear Assembly 3 (BS4/6)", Data!$E$2:$E$175, "2019-20")</f>
        <v>364</v>
      </c>
      <c r="K4">
        <f>J4-I4</f>
        <v>-101</v>
      </c>
      <c r="L4">
        <f>SUMIFS(Cost!$I:$I, Cost!$A:$A, A4, Cost!$B:$B, E4)</f>
        <v>0</v>
      </c>
    </row>
    <row r="5" spans="1:12" x14ac:dyDescent="0.35">
      <c r="A5" t="s">
        <v>32</v>
      </c>
      <c r="B5" t="s">
        <v>12</v>
      </c>
      <c r="C5" t="str">
        <f t="shared" si="0"/>
        <v>Gear Assembly 4 (BS4/6)2019-20</v>
      </c>
      <c r="D5">
        <v>145</v>
      </c>
      <c r="E5">
        <v>46</v>
      </c>
      <c r="F5">
        <v>110</v>
      </c>
      <c r="G5">
        <v>45</v>
      </c>
      <c r="H5">
        <v>30</v>
      </c>
      <c r="I5">
        <f t="shared" si="1"/>
        <v>376</v>
      </c>
      <c r="J5">
        <f>_xlfn.MINIFS(Data!$H$2:$H$175, Data!$A$2:$A$175, "Gear Assembly 4 (BS4/6)", Data!$E$2:$E$175, "2019-20")</f>
        <v>328</v>
      </c>
      <c r="K5">
        <f>J5-I5</f>
        <v>-48</v>
      </c>
      <c r="L5">
        <f>SUMIFS(Cost!$I:$I, Cost!$A:$A, A5, Cost!$B:$B, E5)</f>
        <v>0</v>
      </c>
    </row>
    <row r="6" spans="1:12" x14ac:dyDescent="0.35">
      <c r="A6" t="s">
        <v>33</v>
      </c>
      <c r="B6" t="s">
        <v>12</v>
      </c>
      <c r="C6" t="str">
        <f t="shared" si="0"/>
        <v>Gear Assembly 5 (BS6)2019-20</v>
      </c>
      <c r="D6">
        <v>132</v>
      </c>
      <c r="E6">
        <v>50</v>
      </c>
      <c r="F6">
        <v>70</v>
      </c>
      <c r="G6">
        <v>48</v>
      </c>
      <c r="H6">
        <v>26</v>
      </c>
      <c r="I6">
        <f t="shared" si="1"/>
        <v>326</v>
      </c>
      <c r="J6">
        <f>_xlfn.MINIFS(Data!$H$2:$H$175, Data!$A$2:$A$175, "Gear Assembly 5 (BS6)", Data!$E$2:$E$175, "2019-20")</f>
        <v>360</v>
      </c>
      <c r="K6">
        <f>J6-I6</f>
        <v>34</v>
      </c>
      <c r="L6">
        <f>SUMIFS(Cost!$I:$I, Cost!$A:$A, A6, Cost!$B:$B, E6)</f>
        <v>0</v>
      </c>
    </row>
    <row r="7" spans="1:12" x14ac:dyDescent="0.35">
      <c r="A7" t="s">
        <v>35</v>
      </c>
      <c r="B7" t="s">
        <v>12</v>
      </c>
      <c r="C7" t="str">
        <f t="shared" si="0"/>
        <v>Gear Assembly 6 (BS6)2019-20</v>
      </c>
      <c r="D7">
        <v>174</v>
      </c>
      <c r="E7">
        <v>68</v>
      </c>
      <c r="F7">
        <v>110</v>
      </c>
      <c r="G7">
        <v>46</v>
      </c>
      <c r="H7">
        <v>31</v>
      </c>
      <c r="I7">
        <f t="shared" si="1"/>
        <v>429</v>
      </c>
      <c r="J7">
        <f>_xlfn.MINIFS(Data!$H$2:$H$175, Data!$A$2:$A$175, "Gear Assembly 6 (BS6)", Data!$E$2:$E$175, "2019-20")</f>
        <v>360</v>
      </c>
      <c r="K7">
        <f>J7-I7</f>
        <v>-69</v>
      </c>
      <c r="L7">
        <f>SUMIFS(Cost!$I:$I, Cost!$A:$A, A7, Cost!$B:$B, E7)</f>
        <v>0</v>
      </c>
    </row>
    <row r="8" spans="1:12" x14ac:dyDescent="0.35">
      <c r="A8" t="s">
        <v>8</v>
      </c>
      <c r="B8" t="s">
        <v>27</v>
      </c>
      <c r="C8" t="str">
        <f t="shared" si="0"/>
        <v>Gear Assembly 1 (BS4)2020-21</v>
      </c>
      <c r="D8">
        <v>199</v>
      </c>
      <c r="E8">
        <v>53</v>
      </c>
      <c r="F8">
        <v>111</v>
      </c>
      <c r="G8">
        <v>49</v>
      </c>
      <c r="H8">
        <v>32</v>
      </c>
      <c r="I8">
        <f t="shared" si="1"/>
        <v>444</v>
      </c>
      <c r="J8">
        <f>_xlfn.MINIFS(Data!$H$2:$H$175, Data!$A$2:$A$175, "Gear Assembly 1 (BS4)", Data!$E$2:$E$175, "2020-21")</f>
        <v>360</v>
      </c>
      <c r="K8">
        <f>J8-I8</f>
        <v>-84</v>
      </c>
      <c r="L8">
        <f>SUMIFS(Cost!$I:$I, Cost!$A:$A, A8, Cost!$B:$B, E8)</f>
        <v>0</v>
      </c>
    </row>
    <row r="9" spans="1:12" x14ac:dyDescent="0.35">
      <c r="A9" t="s">
        <v>29</v>
      </c>
      <c r="B9" t="s">
        <v>27</v>
      </c>
      <c r="C9" t="str">
        <f t="shared" si="0"/>
        <v>Gear Assembly 2 (BS4)2020-21</v>
      </c>
      <c r="D9">
        <v>166</v>
      </c>
      <c r="E9">
        <v>57</v>
      </c>
      <c r="F9">
        <v>78</v>
      </c>
      <c r="G9">
        <v>48</v>
      </c>
      <c r="H9">
        <v>25</v>
      </c>
      <c r="I9">
        <f t="shared" si="1"/>
        <v>374</v>
      </c>
      <c r="J9">
        <f>_xlfn.MINIFS(Data!$H$2:$H$175, Data!$A$2:$A$175, "Gear Assembly 2 (BS4)", Data!$E$2:$E$175, "2020-21")</f>
        <v>331</v>
      </c>
      <c r="K9">
        <f>J9-I9</f>
        <v>-43</v>
      </c>
      <c r="L9">
        <f>SUMIFS(Cost!$I:$I, Cost!$A:$A, A9, Cost!$B:$B, E9)</f>
        <v>0</v>
      </c>
    </row>
    <row r="10" spans="1:12" x14ac:dyDescent="0.35">
      <c r="A10" t="s">
        <v>30</v>
      </c>
      <c r="B10" t="s">
        <v>27</v>
      </c>
      <c r="C10" t="str">
        <f t="shared" si="0"/>
        <v>Gear Assembly 3 (BS4/6)2020-21</v>
      </c>
      <c r="D10">
        <v>231</v>
      </c>
      <c r="E10">
        <v>79</v>
      </c>
      <c r="F10">
        <v>124</v>
      </c>
      <c r="G10">
        <v>49</v>
      </c>
      <c r="H10">
        <v>32</v>
      </c>
      <c r="I10">
        <f t="shared" si="1"/>
        <v>515</v>
      </c>
      <c r="J10">
        <f>_xlfn.MINIFS(Data!$H$2:$H$175, Data!$A$2:$A$175, "Gear Assembly 3 (BS4/6)", Data!$E$2:$E$175, "2020-21")</f>
        <v>360</v>
      </c>
      <c r="K10">
        <f>J10-I10</f>
        <v>-155</v>
      </c>
      <c r="L10">
        <f>SUMIFS(Cost!$I:$I, Cost!$A:$A, A10, Cost!$B:$B, E10)</f>
        <v>0</v>
      </c>
    </row>
    <row r="11" spans="1:12" x14ac:dyDescent="0.35">
      <c r="A11" t="s">
        <v>32</v>
      </c>
      <c r="B11" t="s">
        <v>27</v>
      </c>
      <c r="C11" t="str">
        <f t="shared" si="0"/>
        <v>Gear Assembly 4 (BS4/6)2020-21</v>
      </c>
      <c r="D11">
        <v>174</v>
      </c>
      <c r="E11">
        <v>56</v>
      </c>
      <c r="F11">
        <v>112</v>
      </c>
      <c r="G11">
        <v>47</v>
      </c>
      <c r="H11">
        <v>31</v>
      </c>
      <c r="I11">
        <f t="shared" si="1"/>
        <v>420</v>
      </c>
      <c r="J11">
        <f>_xlfn.MINIFS(Data!$H$2:$H$175, Data!$A$2:$A$175, "Gear Assembly 4 (BS4/6)", Data!$E$2:$E$175, "2020-21")</f>
        <v>374</v>
      </c>
      <c r="K11">
        <f>J11-I11</f>
        <v>-46</v>
      </c>
      <c r="L11">
        <f>SUMIFS(Cost!$I:$I, Cost!$A:$A, A11, Cost!$B:$B, E11)</f>
        <v>0</v>
      </c>
    </row>
    <row r="12" spans="1:12" x14ac:dyDescent="0.35">
      <c r="A12" t="s">
        <v>33</v>
      </c>
      <c r="B12" t="s">
        <v>27</v>
      </c>
      <c r="C12" t="str">
        <f t="shared" si="0"/>
        <v>Gear Assembly 5 (BS6)2020-21</v>
      </c>
      <c r="D12">
        <v>176</v>
      </c>
      <c r="E12">
        <v>56</v>
      </c>
      <c r="F12">
        <v>69</v>
      </c>
      <c r="G12">
        <v>49</v>
      </c>
      <c r="H12">
        <v>25</v>
      </c>
      <c r="I12">
        <f t="shared" si="1"/>
        <v>375</v>
      </c>
      <c r="J12">
        <f>_xlfn.MINIFS(Data!$H$2:$H$175, Data!$A$2:$A$175, "Gear Assembly 5 (BS6)", Data!$E$2:$E$175, "2020-21")</f>
        <v>344</v>
      </c>
      <c r="K12">
        <f>J12-I12</f>
        <v>-31</v>
      </c>
      <c r="L12">
        <f>SUMIFS(Cost!$I:$I, Cost!$A:$A, A12, Cost!$B:$B, E12)</f>
        <v>0</v>
      </c>
    </row>
    <row r="13" spans="1:12" x14ac:dyDescent="0.35">
      <c r="A13" t="s">
        <v>35</v>
      </c>
      <c r="B13" t="s">
        <v>27</v>
      </c>
      <c r="C13" t="str">
        <f t="shared" si="0"/>
        <v>Gear Assembly 6 (BS6)2020-21</v>
      </c>
      <c r="D13">
        <v>222</v>
      </c>
      <c r="E13">
        <v>76</v>
      </c>
      <c r="F13">
        <v>114</v>
      </c>
      <c r="G13">
        <v>49</v>
      </c>
      <c r="H13">
        <v>31</v>
      </c>
      <c r="I13">
        <f t="shared" si="1"/>
        <v>492</v>
      </c>
      <c r="J13">
        <f>_xlfn.MINIFS(Data!$H$2:$H$175, Data!$A$2:$A$175, "Gear Assembly 6 (BS6)", Data!$E$2:$E$175, "2020-21")</f>
        <v>344</v>
      </c>
      <c r="K13">
        <f>J13-I13</f>
        <v>-148</v>
      </c>
      <c r="L13">
        <f>SUMIFS(Cost!$I:$I, Cost!$A:$A, A13, Cost!$B:$B, E13)</f>
        <v>0</v>
      </c>
    </row>
    <row r="14" spans="1:12" x14ac:dyDescent="0.35">
      <c r="A14" t="s">
        <v>8</v>
      </c>
      <c r="B14" t="s">
        <v>28</v>
      </c>
      <c r="C14" t="str">
        <f t="shared" si="0"/>
        <v>Gear Assembly 1 (BS4)2021-22</v>
      </c>
      <c r="D14">
        <v>203</v>
      </c>
      <c r="E14">
        <v>54</v>
      </c>
      <c r="F14">
        <v>127</v>
      </c>
      <c r="G14">
        <v>52</v>
      </c>
      <c r="H14">
        <v>33</v>
      </c>
      <c r="I14">
        <f t="shared" si="1"/>
        <v>469</v>
      </c>
      <c r="J14">
        <f>_xlfn.MINIFS(Data!$H$2:$H$175, Data!$A$2:$A$175, "Gear Assembly 1 (BS4)", Data!$E$2:$E$175, "2021-22")</f>
        <v>381</v>
      </c>
      <c r="K14">
        <f>J14-I14</f>
        <v>-88</v>
      </c>
      <c r="L14">
        <f>SUMIFS(Cost!$I:$I, Cost!$A:$A, A14, Cost!$B:$B, E14)</f>
        <v>0</v>
      </c>
    </row>
    <row r="15" spans="1:12" x14ac:dyDescent="0.35">
      <c r="A15" t="s">
        <v>29</v>
      </c>
      <c r="B15" t="s">
        <v>28</v>
      </c>
      <c r="C15" t="str">
        <f t="shared" si="0"/>
        <v>Gear Assembly 2 (BS4)2021-22</v>
      </c>
      <c r="D15">
        <v>168</v>
      </c>
      <c r="E15">
        <v>59</v>
      </c>
      <c r="F15">
        <v>99</v>
      </c>
      <c r="G15">
        <v>52</v>
      </c>
      <c r="H15">
        <v>28</v>
      </c>
      <c r="I15">
        <f t="shared" si="1"/>
        <v>406</v>
      </c>
      <c r="J15">
        <f>_xlfn.MINIFS(Data!$H$2:$H$175, Data!$A$2:$A$175, "Gear Assembly 2 (BS4)", Data!$E$2:$E$175, "2021-22")</f>
        <v>420</v>
      </c>
      <c r="K15">
        <f>J15-I15</f>
        <v>14</v>
      </c>
      <c r="L15">
        <f>SUMIFS(Cost!$I:$I, Cost!$A:$A, A15, Cost!$B:$B, E15)</f>
        <v>0</v>
      </c>
    </row>
    <row r="16" spans="1:12" x14ac:dyDescent="0.35">
      <c r="A16" t="s">
        <v>30</v>
      </c>
      <c r="B16" t="s">
        <v>28</v>
      </c>
      <c r="C16" t="str">
        <f t="shared" si="0"/>
        <v>Gear Assembly 3 (BS4/6)2021-22</v>
      </c>
      <c r="D16">
        <v>249</v>
      </c>
      <c r="E16">
        <v>79</v>
      </c>
      <c r="F16">
        <v>149</v>
      </c>
      <c r="G16">
        <v>54</v>
      </c>
      <c r="H16">
        <v>36</v>
      </c>
      <c r="I16">
        <f t="shared" si="1"/>
        <v>567</v>
      </c>
      <c r="J16">
        <f>_xlfn.MINIFS(Data!$H$2:$H$175, Data!$A$2:$A$175, "Gear Assembly 3 (BS4/6)", Data!$E$2:$E$175, "2021-22")</f>
        <v>334</v>
      </c>
      <c r="K16">
        <f>J16-I16</f>
        <v>-233</v>
      </c>
      <c r="L16">
        <f>SUMIFS(Cost!$I:$I, Cost!$A:$A, A16, Cost!$B:$B, E16)</f>
        <v>0</v>
      </c>
    </row>
    <row r="17" spans="1:12" x14ac:dyDescent="0.35">
      <c r="A17" t="s">
        <v>32</v>
      </c>
      <c r="B17" t="s">
        <v>28</v>
      </c>
      <c r="C17" t="str">
        <f t="shared" si="0"/>
        <v>Gear Assembly 4 (BS4/6)2021-22</v>
      </c>
      <c r="D17">
        <v>174</v>
      </c>
      <c r="E17">
        <v>53</v>
      </c>
      <c r="F17">
        <v>136</v>
      </c>
      <c r="G17">
        <v>51</v>
      </c>
      <c r="H17">
        <v>34</v>
      </c>
      <c r="I17">
        <f t="shared" si="1"/>
        <v>448</v>
      </c>
      <c r="J17">
        <f>_xlfn.MINIFS(Data!$H$2:$H$175, Data!$A$2:$A$175, "Gear Assembly 4 (BS4/6)", Data!$E$2:$E$175, "2021-22")</f>
        <v>404</v>
      </c>
      <c r="K17">
        <f>J17-I17</f>
        <v>-44</v>
      </c>
      <c r="L17">
        <f>SUMIFS(Cost!$I:$I, Cost!$A:$A, A17, Cost!$B:$B, E17)</f>
        <v>0</v>
      </c>
    </row>
    <row r="18" spans="1:12" x14ac:dyDescent="0.35">
      <c r="A18" t="s">
        <v>33</v>
      </c>
      <c r="B18" t="s">
        <v>28</v>
      </c>
      <c r="C18" t="str">
        <f t="shared" si="0"/>
        <v>Gear Assembly 5 (BS6)2021-22</v>
      </c>
      <c r="D18">
        <v>168</v>
      </c>
      <c r="E18">
        <v>59</v>
      </c>
      <c r="F18">
        <v>81</v>
      </c>
      <c r="G18">
        <v>52</v>
      </c>
      <c r="H18">
        <v>27</v>
      </c>
      <c r="I18">
        <f t="shared" si="1"/>
        <v>387</v>
      </c>
      <c r="J18">
        <f>_xlfn.MINIFS(Data!$H$2:$H$175, Data!$A$2:$A$175, "Gear Assembly 5 (BS6)", Data!$E$2:$E$175, "2021-22")</f>
        <v>347</v>
      </c>
      <c r="K18">
        <f>J18-I18</f>
        <v>-40</v>
      </c>
      <c r="L18">
        <f>SUMIFS(Cost!$I:$I, Cost!$A:$A, A18, Cost!$B:$B, E18)</f>
        <v>0</v>
      </c>
    </row>
    <row r="19" spans="1:12" x14ac:dyDescent="0.35">
      <c r="A19" t="s">
        <v>35</v>
      </c>
      <c r="B19" t="s">
        <v>28</v>
      </c>
      <c r="C19" t="str">
        <f t="shared" si="0"/>
        <v>Gear Assembly 6 (BS6)2021-22</v>
      </c>
      <c r="D19">
        <v>206</v>
      </c>
      <c r="E19">
        <v>80</v>
      </c>
      <c r="F19">
        <v>131</v>
      </c>
      <c r="G19">
        <v>53</v>
      </c>
      <c r="H19">
        <v>35</v>
      </c>
      <c r="I19">
        <f t="shared" si="1"/>
        <v>505</v>
      </c>
      <c r="J19">
        <f>_xlfn.MINIFS(Data!$H$2:$H$175, Data!$A$2:$A$175, "Gear Assembly 6 (BS6)", Data!$E$2:$E$175, "2021-22")</f>
        <v>378</v>
      </c>
      <c r="K19">
        <f>J19-I19</f>
        <v>-127</v>
      </c>
      <c r="L19">
        <f>SUMIFS(Cost!$I:$I, Cost!$A:$A, A19, Cost!$B:$B, E19)</f>
        <v>0</v>
      </c>
    </row>
    <row r="20" spans="1:12" x14ac:dyDescent="0.35">
      <c r="J20" t="s">
        <v>59</v>
      </c>
      <c r="K20" cm="1">
        <f t="array" ref="K20">MAX(ABS(K2:K19))</f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D17" sqref="D17"/>
    </sheetView>
  </sheetViews>
  <sheetFormatPr defaultRowHeight="14.5" x14ac:dyDescent="0.35"/>
  <cols>
    <col min="1" max="1" width="16.7265625" bestFit="1" customWidth="1"/>
    <col min="2" max="2" width="21.6328125" bestFit="1" customWidth="1"/>
    <col min="3" max="3" width="14.26953125" bestFit="1" customWidth="1"/>
    <col min="4" max="4" width="19.08984375" bestFit="1" customWidth="1"/>
  </cols>
  <sheetData>
    <row r="1" spans="1:4" x14ac:dyDescent="0.35">
      <c r="A1" t="s">
        <v>44</v>
      </c>
      <c r="B1" t="s">
        <v>45</v>
      </c>
      <c r="C1" t="s">
        <v>46</v>
      </c>
      <c r="D1" t="s">
        <v>47</v>
      </c>
    </row>
    <row r="2" spans="1:4" x14ac:dyDescent="0.35">
      <c r="A2" s="1">
        <v>44652</v>
      </c>
      <c r="B2" t="s">
        <v>48</v>
      </c>
      <c r="C2" t="s">
        <v>49</v>
      </c>
      <c r="D2" t="s">
        <v>49</v>
      </c>
    </row>
    <row r="3" spans="1:4" x14ac:dyDescent="0.35">
      <c r="A3" s="1">
        <v>44653</v>
      </c>
      <c r="B3" t="s">
        <v>50</v>
      </c>
      <c r="C3" t="s">
        <v>50</v>
      </c>
      <c r="D3" t="s">
        <v>50</v>
      </c>
    </row>
    <row r="4" spans="1:4" x14ac:dyDescent="0.35">
      <c r="A4" s="1">
        <v>44654</v>
      </c>
      <c r="B4" t="s">
        <v>49</v>
      </c>
      <c r="C4" t="s">
        <v>49</v>
      </c>
      <c r="D4" t="s">
        <v>49</v>
      </c>
    </row>
    <row r="5" spans="1:4" x14ac:dyDescent="0.35">
      <c r="A5" s="1">
        <v>44655</v>
      </c>
      <c r="B5" t="s">
        <v>49</v>
      </c>
      <c r="C5" t="s">
        <v>49</v>
      </c>
      <c r="D5" t="s">
        <v>49</v>
      </c>
    </row>
    <row r="6" spans="1:4" x14ac:dyDescent="0.35">
      <c r="A6" s="1">
        <v>44656</v>
      </c>
      <c r="B6" t="s">
        <v>49</v>
      </c>
      <c r="C6" t="s">
        <v>49</v>
      </c>
      <c r="D6" t="s">
        <v>49</v>
      </c>
    </row>
    <row r="7" spans="1:4" x14ac:dyDescent="0.35">
      <c r="A7" s="1">
        <v>44657</v>
      </c>
      <c r="B7" t="s">
        <v>49</v>
      </c>
      <c r="C7" t="s">
        <v>51</v>
      </c>
      <c r="D7" t="s">
        <v>49</v>
      </c>
    </row>
    <row r="8" spans="1:4" x14ac:dyDescent="0.35">
      <c r="A8" s="1">
        <v>44658</v>
      </c>
      <c r="B8" t="s">
        <v>49</v>
      </c>
      <c r="C8" t="s">
        <v>49</v>
      </c>
      <c r="D8" t="s">
        <v>49</v>
      </c>
    </row>
    <row r="9" spans="1:4" x14ac:dyDescent="0.35">
      <c r="A9" s="1">
        <v>44659</v>
      </c>
      <c r="B9" t="s">
        <v>49</v>
      </c>
      <c r="C9" t="s">
        <v>49</v>
      </c>
      <c r="D9" t="s">
        <v>49</v>
      </c>
    </row>
    <row r="10" spans="1:4" x14ac:dyDescent="0.35">
      <c r="A10" s="1">
        <v>44660</v>
      </c>
      <c r="B10" t="s">
        <v>49</v>
      </c>
      <c r="C10" t="s">
        <v>49</v>
      </c>
      <c r="D10" t="s">
        <v>49</v>
      </c>
    </row>
    <row r="11" spans="1:4" x14ac:dyDescent="0.35">
      <c r="A11" s="1">
        <v>44661</v>
      </c>
      <c r="B11" t="s">
        <v>49</v>
      </c>
      <c r="C11" t="s">
        <v>49</v>
      </c>
      <c r="D11" t="s">
        <v>52</v>
      </c>
    </row>
    <row r="12" spans="1:4" x14ac:dyDescent="0.35">
      <c r="A12" s="1">
        <v>44662</v>
      </c>
      <c r="B12" t="s">
        <v>49</v>
      </c>
      <c r="C12" t="s">
        <v>49</v>
      </c>
      <c r="D12" t="s">
        <v>49</v>
      </c>
    </row>
    <row r="13" spans="1:4" x14ac:dyDescent="0.35">
      <c r="A13" s="1">
        <v>44663</v>
      </c>
      <c r="B13" t="s">
        <v>49</v>
      </c>
      <c r="C13" t="s">
        <v>49</v>
      </c>
      <c r="D13" t="s">
        <v>49</v>
      </c>
    </row>
    <row r="14" spans="1:4" x14ac:dyDescent="0.35">
      <c r="A14" s="1">
        <v>44664</v>
      </c>
      <c r="B14" t="s">
        <v>49</v>
      </c>
      <c r="C14" t="s">
        <v>49</v>
      </c>
      <c r="D14" t="s">
        <v>49</v>
      </c>
    </row>
    <row r="15" spans="1:4" x14ac:dyDescent="0.35">
      <c r="A15" s="1">
        <v>44665</v>
      </c>
      <c r="B15" t="s">
        <v>49</v>
      </c>
      <c r="C15" t="s">
        <v>49</v>
      </c>
      <c r="D15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sqref="A1:D15"/>
    </sheetView>
  </sheetViews>
  <sheetFormatPr defaultRowHeight="14.5" x14ac:dyDescent="0.35"/>
  <cols>
    <col min="1" max="1" width="16.7265625" bestFit="1" customWidth="1"/>
    <col min="2" max="4" width="6" bestFit="1" customWidth="1"/>
  </cols>
  <sheetData>
    <row r="1" spans="1:4" x14ac:dyDescent="0.35">
      <c r="A1" t="s">
        <v>44</v>
      </c>
      <c r="B1" t="s">
        <v>53</v>
      </c>
      <c r="C1" t="s">
        <v>54</v>
      </c>
      <c r="D1" t="s">
        <v>55</v>
      </c>
    </row>
    <row r="2" spans="1:4" x14ac:dyDescent="0.35">
      <c r="A2" s="1">
        <v>44652</v>
      </c>
      <c r="B2">
        <v>0</v>
      </c>
      <c r="C2">
        <v>4035</v>
      </c>
      <c r="D2">
        <v>4320</v>
      </c>
    </row>
    <row r="3" spans="1:4" x14ac:dyDescent="0.35">
      <c r="A3" s="1">
        <v>44653</v>
      </c>
      <c r="B3">
        <v>0</v>
      </c>
      <c r="C3">
        <v>0</v>
      </c>
      <c r="D3">
        <v>0</v>
      </c>
    </row>
    <row r="4" spans="1:4" x14ac:dyDescent="0.35">
      <c r="A4" s="1">
        <v>44654</v>
      </c>
      <c r="B4">
        <v>4005</v>
      </c>
      <c r="C4">
        <v>4120</v>
      </c>
      <c r="D4">
        <v>4189</v>
      </c>
    </row>
    <row r="5" spans="1:4" x14ac:dyDescent="0.35">
      <c r="A5" s="1">
        <v>44655</v>
      </c>
      <c r="B5">
        <v>4180</v>
      </c>
      <c r="C5">
        <v>4208</v>
      </c>
      <c r="D5">
        <v>4361</v>
      </c>
    </row>
    <row r="6" spans="1:4" x14ac:dyDescent="0.35">
      <c r="A6" s="1">
        <v>44656</v>
      </c>
      <c r="B6">
        <v>4009</v>
      </c>
      <c r="C6">
        <v>4260</v>
      </c>
      <c r="D6">
        <v>4536</v>
      </c>
    </row>
    <row r="7" spans="1:4" x14ac:dyDescent="0.35">
      <c r="A7" s="1">
        <v>44657</v>
      </c>
      <c r="B7">
        <v>4400</v>
      </c>
      <c r="C7">
        <v>0</v>
      </c>
      <c r="D7">
        <v>4360</v>
      </c>
    </row>
    <row r="8" spans="1:4" x14ac:dyDescent="0.35">
      <c r="A8" s="1">
        <v>44658</v>
      </c>
      <c r="B8">
        <v>4227</v>
      </c>
      <c r="C8">
        <v>3955</v>
      </c>
      <c r="D8">
        <v>4422</v>
      </c>
    </row>
    <row r="9" spans="1:4" x14ac:dyDescent="0.35">
      <c r="A9" s="1">
        <v>44659</v>
      </c>
      <c r="B9">
        <v>4110</v>
      </c>
      <c r="C9">
        <v>4314</v>
      </c>
      <c r="D9">
        <v>4618</v>
      </c>
    </row>
    <row r="10" spans="1:4" x14ac:dyDescent="0.35">
      <c r="A10" s="1">
        <v>44660</v>
      </c>
      <c r="B10">
        <v>4375</v>
      </c>
      <c r="C10">
        <v>4162</v>
      </c>
      <c r="D10">
        <v>4285</v>
      </c>
    </row>
    <row r="11" spans="1:4" x14ac:dyDescent="0.35">
      <c r="A11" s="1">
        <v>44661</v>
      </c>
      <c r="B11">
        <v>3955</v>
      </c>
      <c r="C11">
        <v>4117</v>
      </c>
      <c r="D11">
        <v>0</v>
      </c>
    </row>
    <row r="12" spans="1:4" x14ac:dyDescent="0.35">
      <c r="A12" s="1">
        <v>44662</v>
      </c>
      <c r="B12">
        <v>4001</v>
      </c>
      <c r="C12">
        <v>4026</v>
      </c>
      <c r="D12">
        <v>4661</v>
      </c>
    </row>
    <row r="13" spans="1:4" x14ac:dyDescent="0.35">
      <c r="A13" s="1">
        <v>44663</v>
      </c>
      <c r="B13">
        <v>4240</v>
      </c>
      <c r="C13">
        <v>4233</v>
      </c>
      <c r="D13">
        <v>4089</v>
      </c>
    </row>
    <row r="14" spans="1:4" x14ac:dyDescent="0.35">
      <c r="A14" s="1">
        <v>44664</v>
      </c>
      <c r="B14">
        <v>4219</v>
      </c>
      <c r="C14">
        <v>4314</v>
      </c>
      <c r="D14">
        <v>4171</v>
      </c>
    </row>
    <row r="15" spans="1:4" x14ac:dyDescent="0.35">
      <c r="A15" s="1">
        <v>44665</v>
      </c>
      <c r="B15">
        <v>4325</v>
      </c>
      <c r="C15">
        <v>4285</v>
      </c>
      <c r="D15">
        <v>4249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A3" sqref="A1:D15"/>
    </sheetView>
  </sheetViews>
  <sheetFormatPr defaultRowHeight="14.5" x14ac:dyDescent="0.35"/>
  <cols>
    <col min="1" max="1" width="16.7265625" bestFit="1" customWidth="1"/>
    <col min="2" max="4" width="6" bestFit="1" customWidth="1"/>
  </cols>
  <sheetData>
    <row r="1" spans="1:4" x14ac:dyDescent="0.35">
      <c r="A1" t="s">
        <v>44</v>
      </c>
      <c r="B1" t="s">
        <v>53</v>
      </c>
      <c r="C1" t="s">
        <v>54</v>
      </c>
      <c r="D1" t="s">
        <v>55</v>
      </c>
    </row>
    <row r="2" spans="1:4" x14ac:dyDescent="0.35">
      <c r="A2" s="1">
        <v>44652</v>
      </c>
      <c r="B2">
        <v>0</v>
      </c>
      <c r="C2">
        <v>26</v>
      </c>
      <c r="D2">
        <v>21</v>
      </c>
    </row>
    <row r="3" spans="1:4" x14ac:dyDescent="0.35">
      <c r="A3" s="1">
        <v>44653</v>
      </c>
      <c r="B3">
        <v>0</v>
      </c>
      <c r="C3">
        <v>0</v>
      </c>
      <c r="D3">
        <v>0</v>
      </c>
    </row>
    <row r="4" spans="1:4" x14ac:dyDescent="0.35">
      <c r="A4" s="1">
        <v>44654</v>
      </c>
      <c r="B4">
        <v>6</v>
      </c>
      <c r="C4">
        <v>21</v>
      </c>
      <c r="D4">
        <v>1</v>
      </c>
    </row>
    <row r="5" spans="1:4" x14ac:dyDescent="0.35">
      <c r="A5" s="1">
        <v>44655</v>
      </c>
      <c r="B5">
        <v>24</v>
      </c>
      <c r="C5">
        <v>33</v>
      </c>
      <c r="D5">
        <v>7</v>
      </c>
    </row>
    <row r="6" spans="1:4" x14ac:dyDescent="0.35">
      <c r="A6" s="1">
        <v>44656</v>
      </c>
      <c r="B6">
        <v>25</v>
      </c>
      <c r="C6">
        <v>26</v>
      </c>
      <c r="D6">
        <v>14</v>
      </c>
    </row>
    <row r="7" spans="1:4" x14ac:dyDescent="0.35">
      <c r="A7" s="1">
        <v>44657</v>
      </c>
      <c r="B7">
        <v>21</v>
      </c>
      <c r="C7">
        <v>0</v>
      </c>
      <c r="D7">
        <v>20</v>
      </c>
    </row>
    <row r="8" spans="1:4" x14ac:dyDescent="0.35">
      <c r="A8" s="1">
        <v>44658</v>
      </c>
      <c r="B8">
        <v>19</v>
      </c>
      <c r="C8">
        <v>26</v>
      </c>
      <c r="D8">
        <v>32</v>
      </c>
    </row>
    <row r="9" spans="1:4" x14ac:dyDescent="0.35">
      <c r="A9" s="1">
        <v>44659</v>
      </c>
      <c r="B9">
        <v>5</v>
      </c>
      <c r="C9">
        <v>22</v>
      </c>
      <c r="D9">
        <v>48</v>
      </c>
    </row>
    <row r="10" spans="1:4" x14ac:dyDescent="0.35">
      <c r="A10" s="1">
        <v>44660</v>
      </c>
      <c r="B10">
        <v>9</v>
      </c>
      <c r="C10">
        <v>4</v>
      </c>
      <c r="D10">
        <v>37</v>
      </c>
    </row>
    <row r="11" spans="1:4" x14ac:dyDescent="0.35">
      <c r="A11" s="1">
        <v>44661</v>
      </c>
      <c r="B11">
        <v>4</v>
      </c>
      <c r="C11">
        <v>34</v>
      </c>
      <c r="D11">
        <v>0</v>
      </c>
    </row>
    <row r="12" spans="1:4" x14ac:dyDescent="0.35">
      <c r="A12" s="1">
        <v>44662</v>
      </c>
      <c r="B12">
        <v>16</v>
      </c>
      <c r="C12">
        <v>21</v>
      </c>
      <c r="D12">
        <v>27</v>
      </c>
    </row>
    <row r="13" spans="1:4" x14ac:dyDescent="0.35">
      <c r="A13" s="1">
        <v>44663</v>
      </c>
      <c r="B13">
        <v>21</v>
      </c>
      <c r="C13">
        <v>33</v>
      </c>
      <c r="D13">
        <v>49</v>
      </c>
    </row>
    <row r="14" spans="1:4" x14ac:dyDescent="0.35">
      <c r="A14" s="1">
        <v>44664</v>
      </c>
      <c r="B14">
        <v>3</v>
      </c>
      <c r="C14">
        <v>28</v>
      </c>
      <c r="D14">
        <v>36</v>
      </c>
    </row>
    <row r="15" spans="1:4" x14ac:dyDescent="0.35">
      <c r="A15" s="1">
        <v>44665</v>
      </c>
      <c r="B15">
        <v>10</v>
      </c>
      <c r="C15">
        <v>26</v>
      </c>
      <c r="D15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Cost</vt:lpstr>
      <vt:lpstr>Shift_Running</vt:lpstr>
      <vt:lpstr>Actual_Output</vt:lpstr>
      <vt:lpstr>Scrap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Gupta</cp:lastModifiedBy>
  <dcterms:created xsi:type="dcterms:W3CDTF">2025-02-26T15:02:03Z</dcterms:created>
  <dcterms:modified xsi:type="dcterms:W3CDTF">2026-04-08T05:06:11Z</dcterms:modified>
</cp:coreProperties>
</file>